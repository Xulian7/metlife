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METLIFE\CONSULTORIA NICOLAS\"/>
    </mc:Choice>
  </mc:AlternateContent>
  <xr:revisionPtr revIDLastSave="0" documentId="8_{1AC185F9-EBCC-42D5-8312-4AAA477A8BBF}" xr6:coauthVersionLast="47" xr6:coauthVersionMax="47" xr10:uidLastSave="{00000000-0000-0000-0000-000000000000}"/>
  <bookViews>
    <workbookView xWindow="-108" yWindow="-108" windowWidth="23256" windowHeight="12456" activeTab="2" xr2:uid="{46D48D8B-3E77-1C43-8962-ECA2693B3D98}"/>
  </bookViews>
  <sheets>
    <sheet name="DATOS GERERALES" sheetId="1" r:id="rId1"/>
    <sheet name="PANORAMA LEY 100" sheetId="3" r:id="rId2"/>
    <sheet name="PANORAMA REFORMA" sheetId="4" r:id="rId3"/>
    <sheet name="EDUCACION HIJOS" sheetId="2" r:id="rId4"/>
  </sheets>
  <calcPr calcId="181029"/>
</workbook>
</file>

<file path=xl/calcChain.xml><?xml version="1.0" encoding="utf-8"?>
<calcChain xmlns="http://schemas.openxmlformats.org/spreadsheetml/2006/main">
  <c r="D16" i="2" l="1"/>
  <c r="D11" i="2"/>
  <c r="C4" i="2"/>
  <c r="D4" i="2" s="1"/>
  <c r="D15" i="2" s="1"/>
  <c r="C3" i="2"/>
  <c r="D3" i="2" s="1"/>
  <c r="D10" i="2" s="1"/>
  <c r="C12" i="4"/>
  <c r="F9" i="4"/>
  <c r="C20" i="4"/>
  <c r="F5" i="3"/>
  <c r="C25" i="3" s="1"/>
  <c r="D25" i="3" s="1"/>
  <c r="B4" i="2"/>
  <c r="B14" i="2" s="1"/>
  <c r="B3" i="2"/>
  <c r="B9" i="2" s="1"/>
  <c r="A5" i="4"/>
  <c r="J12" i="4" s="1"/>
  <c r="I14" i="3"/>
  <c r="D2" i="4"/>
  <c r="C18" i="4"/>
  <c r="N2" i="4"/>
  <c r="G3" i="4"/>
  <c r="Q3" i="4"/>
  <c r="P5" i="4"/>
  <c r="M6" i="4"/>
  <c r="P17" i="4" s="1"/>
  <c r="M8" i="4"/>
  <c r="P9" i="4"/>
  <c r="C11" i="4"/>
  <c r="M11" i="4"/>
  <c r="M12" i="4"/>
  <c r="F16" i="4"/>
  <c r="P16" i="4"/>
  <c r="M18" i="4"/>
  <c r="M20" i="4"/>
  <c r="M27" i="4"/>
  <c r="N27" i="4"/>
  <c r="Q27" i="4"/>
  <c r="M28" i="4"/>
  <c r="N28" i="4"/>
  <c r="Q28" i="4"/>
  <c r="E42" i="4"/>
  <c r="O42" i="4"/>
  <c r="E43" i="4"/>
  <c r="O43" i="4"/>
  <c r="E44" i="4"/>
  <c r="O44" i="4"/>
  <c r="E45" i="4"/>
  <c r="O45" i="4"/>
  <c r="E49" i="4"/>
  <c r="O49" i="4"/>
  <c r="E50" i="4"/>
  <c r="O50" i="4"/>
  <c r="E51" i="4"/>
  <c r="O51" i="4"/>
  <c r="E52" i="4"/>
  <c r="E55" i="4"/>
  <c r="E57" i="4"/>
  <c r="O52" i="4"/>
  <c r="O55" i="4"/>
  <c r="O57" i="4"/>
  <c r="E2" i="3"/>
  <c r="N2" i="3"/>
  <c r="G3" i="3"/>
  <c r="Q3" i="3"/>
  <c r="M7" i="3"/>
  <c r="M15" i="3" s="1"/>
  <c r="M16" i="3" s="1"/>
  <c r="M8" i="3"/>
  <c r="C19" i="3"/>
  <c r="C26" i="3" s="1"/>
  <c r="D26" i="3" s="1"/>
  <c r="F15" i="3"/>
  <c r="P15" i="3"/>
  <c r="C17" i="3"/>
  <c r="M17" i="3"/>
  <c r="M19" i="3"/>
  <c r="M26" i="3"/>
  <c r="N26" i="3"/>
  <c r="Q26" i="3"/>
  <c r="N24" i="3"/>
  <c r="Q24" i="3"/>
  <c r="M28" i="3"/>
  <c r="N28" i="3"/>
  <c r="Q28" i="3"/>
  <c r="J29" i="3"/>
  <c r="T29" i="3"/>
  <c r="M9" i="3"/>
  <c r="B5" i="2"/>
  <c r="B19" i="2" s="1"/>
  <c r="C5" i="2"/>
  <c r="D5" i="2" s="1"/>
  <c r="D20" i="2" s="1"/>
  <c r="B6" i="2"/>
  <c r="B24" i="2" s="1"/>
  <c r="C6" i="2"/>
  <c r="D6" i="2" s="1"/>
  <c r="D25" i="2" s="1"/>
  <c r="B7" i="2"/>
  <c r="B29" i="2" s="1"/>
  <c r="C7" i="2"/>
  <c r="D7" i="2"/>
  <c r="D30" i="2" s="1"/>
  <c r="D21" i="2"/>
  <c r="D26" i="2"/>
  <c r="D31" i="2"/>
  <c r="P9" i="3"/>
  <c r="M24" i="3"/>
  <c r="P5" i="3"/>
  <c r="M25" i="3"/>
  <c r="N25" i="3"/>
  <c r="Q25" i="3"/>
  <c r="D27" i="2" l="1"/>
  <c r="G16" i="2"/>
  <c r="D28" i="3" s="1"/>
  <c r="D17" i="2"/>
  <c r="F9" i="3"/>
  <c r="C24" i="3" s="1"/>
  <c r="D24" i="3" s="1"/>
  <c r="G24" i="3" s="1"/>
  <c r="K7" i="1"/>
  <c r="D12" i="2"/>
  <c r="M16" i="4"/>
  <c r="M17" i="4" s="1"/>
  <c r="G26" i="3"/>
  <c r="K14" i="1"/>
  <c r="C27" i="4"/>
  <c r="D27" i="4" s="1"/>
  <c r="G27" i="4" s="1"/>
  <c r="K13" i="1"/>
  <c r="G25" i="3"/>
  <c r="C15" i="3"/>
  <c r="C16" i="3" s="1"/>
  <c r="P20" i="4"/>
  <c r="O22" i="4" s="1"/>
  <c r="M29" i="4" s="1"/>
  <c r="N29" i="4" s="1"/>
  <c r="Q29" i="4" s="1"/>
  <c r="P18" i="4"/>
  <c r="P19" i="4" s="1"/>
  <c r="P16" i="3"/>
  <c r="P17" i="3" s="1"/>
  <c r="P18" i="3" s="1"/>
  <c r="P19" i="3" s="1"/>
  <c r="M27" i="3" s="1"/>
  <c r="N27" i="3" s="1"/>
  <c r="Q27" i="3" s="1"/>
  <c r="I13" i="3"/>
  <c r="D32" i="2"/>
  <c r="F5" i="4"/>
  <c r="C28" i="4" s="1"/>
  <c r="D28" i="4" s="1"/>
  <c r="D22" i="2"/>
  <c r="C28" i="3" l="1"/>
  <c r="D31" i="4"/>
  <c r="K8" i="1"/>
  <c r="K9" i="1" s="1"/>
  <c r="K12" i="1"/>
  <c r="I15" i="3"/>
  <c r="I16" i="3" s="1"/>
  <c r="I17" i="3" s="1"/>
  <c r="F16" i="3"/>
  <c r="F17" i="3" s="1"/>
  <c r="F18" i="3" s="1"/>
  <c r="F19" i="3" s="1"/>
  <c r="C27" i="3" s="1"/>
  <c r="D27" i="3" s="1"/>
  <c r="G27" i="3" s="1"/>
  <c r="D29" i="4"/>
  <c r="G29" i="4" s="1"/>
  <c r="G28" i="4"/>
  <c r="C16" i="4"/>
  <c r="C17" i="4" s="1"/>
  <c r="J15" i="4"/>
  <c r="F17" i="4"/>
  <c r="J16" i="4"/>
  <c r="J17" i="4" s="1"/>
  <c r="G10" i="2"/>
  <c r="G12" i="2" s="1"/>
  <c r="G13" i="2" s="1"/>
  <c r="K16" i="1" l="1"/>
  <c r="F20" i="4"/>
  <c r="E22" i="4" s="1"/>
  <c r="C29" i="4" s="1"/>
  <c r="F18" i="4"/>
  <c r="F19" i="4" s="1"/>
</calcChain>
</file>

<file path=xl/sharedStrings.xml><?xml version="1.0" encoding="utf-8"?>
<sst xmlns="http://schemas.openxmlformats.org/spreadsheetml/2006/main" count="245" uniqueCount="99">
  <si>
    <t>Nombre</t>
  </si>
  <si>
    <t xml:space="preserve"> Edad</t>
  </si>
  <si>
    <t>Nombre Cliente</t>
  </si>
  <si>
    <t>Cédula</t>
  </si>
  <si>
    <t>Celular</t>
  </si>
  <si>
    <t>Mail</t>
  </si>
  <si>
    <t>Estado Civil</t>
  </si>
  <si>
    <t>Nombre Cónyuge</t>
  </si>
  <si>
    <t>Fecha Nacimiento</t>
  </si>
  <si>
    <t>Hijo (a)</t>
  </si>
  <si>
    <t>EP</t>
  </si>
  <si>
    <t>Salario / Honorarios</t>
  </si>
  <si>
    <t>Ahorro y  o Seguros</t>
  </si>
  <si>
    <t>Rentas- Inversiones</t>
  </si>
  <si>
    <t>Gasto Mensual</t>
  </si>
  <si>
    <t>COLEGIO</t>
  </si>
  <si>
    <t>UNIVERSIDAD</t>
  </si>
  <si>
    <t>TOTAL</t>
  </si>
  <si>
    <t>RESUMEN  COMPROMISO EDUCATIVO</t>
  </si>
  <si>
    <t xml:space="preserve">CAPITAL NECESARIO PARA TU PROTECCION </t>
  </si>
  <si>
    <t>Fallecimiento</t>
  </si>
  <si>
    <t>Invalidez</t>
  </si>
  <si>
    <t>Pesnsion Público</t>
  </si>
  <si>
    <t>Pension Privado</t>
  </si>
  <si>
    <t>Pension  Sistema Pilares</t>
  </si>
  <si>
    <t>Nombre Hijos</t>
  </si>
  <si>
    <t>Edad</t>
  </si>
  <si>
    <t>Años Faltantes</t>
  </si>
  <si>
    <t>Universidad Semestre</t>
  </si>
  <si>
    <t>Colegio Pensión</t>
  </si>
  <si>
    <t>DESCOBERTURA EDUCATIVA</t>
  </si>
  <si>
    <t>Seguro eductiva o inversión</t>
  </si>
  <si>
    <t>Deuda Educativa Descubierta</t>
  </si>
  <si>
    <t>VALOR DE SEGURO DE VIDA SUGERIDO</t>
  </si>
  <si>
    <t>ACUMULACION NECESARIA UNIVERSIDAD</t>
  </si>
  <si>
    <t>ACTIVIDAD ECONOMICA</t>
  </si>
  <si>
    <t>Fecha de Consultoría</t>
  </si>
  <si>
    <t>ADN                                                                                                                            ANALISIS DE NECESIDADES</t>
  </si>
  <si>
    <t>ANALISIS BRECHA PENSIONAL</t>
  </si>
  <si>
    <t>Adm Pensión</t>
  </si>
  <si>
    <t>Años cotizados</t>
  </si>
  <si>
    <t>Años por cotizar</t>
  </si>
  <si>
    <t>Ingreso Mensual</t>
  </si>
  <si>
    <t>Base Cotización últimos 10 años</t>
  </si>
  <si>
    <t>CALCULO PENSION  INVALIDEZ</t>
  </si>
  <si>
    <t>CALCULO PENSION SOBREVIVENCIA</t>
  </si>
  <si>
    <t>Ingreso Base de Cotización Actual</t>
  </si>
  <si>
    <t>PENSION VEJEZ COLPENSIONES</t>
  </si>
  <si>
    <t>PENSION VEJEZ FONDO PRIVADO</t>
  </si>
  <si>
    <t xml:space="preserve">Años totales </t>
  </si>
  <si>
    <t>Semanas a Acumular</t>
  </si>
  <si>
    <t>Penaización Fórmula</t>
  </si>
  <si>
    <t>Tasa de Reemplazo (%)</t>
  </si>
  <si>
    <t>Capital necesario Fedesarrollo</t>
  </si>
  <si>
    <t>Acumulación proyectada</t>
  </si>
  <si>
    <t>DESCOBERTURAS O BRECHAS PENSIONALES</t>
  </si>
  <si>
    <t>CAPITAL                                   NECESARIO</t>
  </si>
  <si>
    <t>LIBERTAD FINANCIERA POR RENTA MENSUAL</t>
  </si>
  <si>
    <t>IBC ACTUAL</t>
  </si>
  <si>
    <t>COTIZACION OBLIGATORIA</t>
  </si>
  <si>
    <t>SALUD</t>
  </si>
  <si>
    <t>PENSION</t>
  </si>
  <si>
    <t>FONDO SOLIDARIDAD</t>
  </si>
  <si>
    <t>PAGO MENSUAL PROYECTADO</t>
  </si>
  <si>
    <t>INCREMENTO COTIZACION</t>
  </si>
  <si>
    <t>AÑOS FALTANTES</t>
  </si>
  <si>
    <t>MEJORAMIENTO PENSION VEJEZ</t>
  </si>
  <si>
    <t>MIN</t>
  </si>
  <si>
    <t>Vejez  Transición Colpension</t>
  </si>
  <si>
    <t>Vejez  ley 100 Fondo Privado</t>
  </si>
  <si>
    <t>PENSION NETA</t>
  </si>
  <si>
    <t>BRECHA O DEFICIT PENSIONAL</t>
  </si>
  <si>
    <t>IBC Colpensiones</t>
  </si>
  <si>
    <t>IBC Fondo Privado</t>
  </si>
  <si>
    <t>Universidad</t>
  </si>
  <si>
    <t>PENSION TOTAL DEL SISTEMA</t>
  </si>
  <si>
    <t>TOTAL PAGO PROYECTADO</t>
  </si>
  <si>
    <t># Veces Capital Necesario</t>
  </si>
  <si>
    <t xml:space="preserve">DESCOBERTURAS   </t>
  </si>
  <si>
    <t xml:space="preserve">Vejez </t>
  </si>
  <si>
    <t xml:space="preserve">ANALISIS DE NECESIDADES </t>
  </si>
  <si>
    <t>%</t>
  </si>
  <si>
    <t>Fecha NacimieNto</t>
  </si>
  <si>
    <t>RPMPD</t>
  </si>
  <si>
    <t>RAIS</t>
  </si>
  <si>
    <t>Penalización Fórmula</t>
  </si>
  <si>
    <t xml:space="preserve"> ACCAI</t>
  </si>
  <si>
    <t xml:space="preserve"> COLPENSIONES  RPMPD</t>
  </si>
  <si>
    <t>RPMPD  COLPENSIONES</t>
  </si>
  <si>
    <t>RAIS  FONDOS DE PENSIONES AFPs</t>
  </si>
  <si>
    <t>PARA SEGUNDA CITA</t>
  </si>
  <si>
    <t>EDAD</t>
  </si>
  <si>
    <t>SEMANAS COTIZADAS</t>
  </si>
  <si>
    <t>ALCANCE DE SEMANAS +</t>
  </si>
  <si>
    <t xml:space="preserve">TOTAL </t>
  </si>
  <si>
    <t xml:space="preserve">COLPENSIONES </t>
  </si>
  <si>
    <t>MÉDICO GENERAL</t>
  </si>
  <si>
    <t>CARLOS CERVANTES</t>
  </si>
  <si>
    <t>21 DE ENERO DE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</si>
</sst>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164" formatCode="_-[$$-240A]\ * #,##0.00_-;\-[$$-240A]\ * #,##0.00_-;_-[$$-240A]\ * &quot;-&quot;??_-;_-@_-"/>
    <numFmt numFmtId="165" formatCode="0.0%"/>
    <numFmt numFmtId="166" formatCode="&quot;$&quot;\ #,##0"/>
    <numFmt numFmtId="167" formatCode="_-[$$-240A]\ * #,##0_-;\-[$$-240A]\ * #,##0_-;_-[$$-240A]\ * &quot;-&quot;??_-;_-@_-"/>
    <numFmt numFmtId="168" formatCode="&quot;$&quot;\ #,##0.0"/>
  </numFmts>
  <fonts count="3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9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0"/>
      <name val="Aptos Narrow"/>
      <scheme val="minor"/>
    </font>
    <font>
      <b/>
      <sz val="16"/>
      <color theme="0"/>
      <name val="Aptos Narrow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0000"/>
      <name val="Aptos Narrow"/>
      <scheme val="minor"/>
    </font>
    <font>
      <sz val="14"/>
      <color rgb="FFFF0000"/>
      <name val="Aptos Narrow"/>
      <family val="2"/>
      <scheme val="minor"/>
    </font>
    <font>
      <b/>
      <sz val="12"/>
      <color rgb="FF00B050"/>
      <name val="Aptos Narrow"/>
      <scheme val="minor"/>
    </font>
    <font>
      <b/>
      <sz val="14"/>
      <color rgb="FF00B050"/>
      <name val="Aptos Narrow"/>
      <scheme val="minor"/>
    </font>
    <font>
      <b/>
      <sz val="20"/>
      <color theme="0"/>
      <name val="Aptos Narrow"/>
      <scheme val="minor"/>
    </font>
    <font>
      <sz val="9"/>
      <color theme="1"/>
      <name val="Aptos Narrow"/>
      <family val="2"/>
      <scheme val="minor"/>
    </font>
    <font>
      <b/>
      <sz val="8"/>
      <color theme="3" tint="0.249977111117893"/>
      <name val="Aptos Narrow"/>
      <scheme val="minor"/>
    </font>
    <font>
      <sz val="11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6"/>
      <color theme="1"/>
      <name val="Aptos Narrow"/>
      <scheme val="minor"/>
    </font>
    <font>
      <i/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5"/>
      <color theme="1"/>
      <name val="Aptos Narrow"/>
      <family val="2"/>
      <scheme val="minor"/>
    </font>
    <font>
      <b/>
      <sz val="20"/>
      <color theme="0"/>
      <name val="Calabri"/>
    </font>
    <font>
      <b/>
      <sz val="20"/>
      <color theme="0"/>
      <name val="Andale Mono"/>
      <family val="2"/>
    </font>
    <font>
      <b/>
      <sz val="14"/>
      <color theme="1"/>
      <name val="Aptos Narrow"/>
      <scheme val="minor"/>
    </font>
    <font>
      <sz val="8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sz val="18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5D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FBB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/>
      <bottom style="thin">
        <color theme="2" tint="-0.499984740745262"/>
      </bottom>
      <diagonal/>
    </border>
    <border>
      <left style="hair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hair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hair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hair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hair">
        <color theme="2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theme="2" tint="-0.249977111117893"/>
      </top>
      <bottom/>
      <diagonal/>
    </border>
    <border>
      <left style="hair">
        <color theme="2" tint="-0.499984740745262"/>
      </left>
      <right/>
      <top/>
      <bottom/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249977111117893"/>
      </left>
      <right style="hair">
        <color theme="2" tint="-0.499984740745262"/>
      </right>
      <top style="hair">
        <color theme="2" tint="-0.499984740745262"/>
      </top>
      <bottom style="thin">
        <color theme="2" tint="-0.249977111117893"/>
      </bottom>
      <diagonal/>
    </border>
    <border>
      <left style="hair">
        <color theme="2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hair">
        <color theme="2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hair">
        <color theme="2" tint="-0.499984740745262"/>
      </left>
      <right/>
      <top/>
      <bottom style="thin">
        <color theme="2" tint="-0.249977111117893"/>
      </bottom>
      <diagonal/>
    </border>
    <border>
      <left/>
      <right style="thin">
        <color theme="2" tint="-0.499984740745262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/>
      <top style="medium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2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4" borderId="6" xfId="0" applyFill="1" applyBorder="1"/>
    <xf numFmtId="0" fontId="4" fillId="5" borderId="6" xfId="0" applyFont="1" applyFill="1" applyBorder="1"/>
    <xf numFmtId="164" fontId="3" fillId="0" borderId="6" xfId="0" applyNumberFormat="1" applyFont="1" applyBorder="1"/>
    <xf numFmtId="164" fontId="0" fillId="0" borderId="6" xfId="0" applyNumberFormat="1" applyBorder="1"/>
    <xf numFmtId="0" fontId="0" fillId="6" borderId="0" xfId="0" applyFill="1" applyAlignment="1">
      <alignment horizontal="center"/>
    </xf>
    <xf numFmtId="0" fontId="4" fillId="0" borderId="0" xfId="0" applyFont="1"/>
    <xf numFmtId="0" fontId="5" fillId="2" borderId="0" xfId="0" applyFont="1" applyFill="1"/>
    <xf numFmtId="0" fontId="4" fillId="6" borderId="0" xfId="0" applyFont="1" applyFill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6" borderId="0" xfId="0" applyFont="1" applyFill="1"/>
    <xf numFmtId="0" fontId="4" fillId="0" borderId="2" xfId="0" applyFont="1" applyBorder="1"/>
    <xf numFmtId="0" fontId="5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42" fontId="1" fillId="7" borderId="12" xfId="1" applyFont="1" applyFill="1" applyBorder="1"/>
    <xf numFmtId="42" fontId="1" fillId="8" borderId="12" xfId="1" applyFont="1" applyFill="1" applyBorder="1"/>
    <xf numFmtId="42" fontId="1" fillId="4" borderId="12" xfId="1" applyFont="1" applyFill="1" applyBorder="1"/>
    <xf numFmtId="0" fontId="5" fillId="2" borderId="12" xfId="0" applyFont="1" applyFill="1" applyBorder="1"/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4" fillId="9" borderId="0" xfId="0" applyFont="1" applyFill="1"/>
    <xf numFmtId="0" fontId="6" fillId="9" borderId="0" xfId="0" applyFont="1" applyFill="1" applyAlignment="1">
      <alignment horizontal="center" wrapText="1"/>
    </xf>
    <xf numFmtId="0" fontId="7" fillId="0" borderId="12" xfId="0" applyFont="1" applyBorder="1"/>
    <xf numFmtId="0" fontId="0" fillId="3" borderId="12" xfId="0" applyFill="1" applyBorder="1"/>
    <xf numFmtId="0" fontId="0" fillId="10" borderId="12" xfId="0" applyFill="1" applyBorder="1"/>
    <xf numFmtId="0" fontId="8" fillId="6" borderId="0" xfId="0" applyFont="1" applyFill="1"/>
    <xf numFmtId="0" fontId="0" fillId="5" borderId="12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4" borderId="15" xfId="0" applyFill="1" applyBorder="1" applyAlignment="1">
      <alignment horizontal="right"/>
    </xf>
    <xf numFmtId="0" fontId="0" fillId="4" borderId="12" xfId="0" applyFill="1" applyBorder="1" applyAlignment="1">
      <alignment horizontal="center"/>
    </xf>
    <xf numFmtId="42" fontId="0" fillId="8" borderId="12" xfId="0" applyNumberFormat="1" applyFill="1" applyBorder="1"/>
    <xf numFmtId="42" fontId="0" fillId="0" borderId="12" xfId="0" applyNumberFormat="1" applyBorder="1"/>
    <xf numFmtId="0" fontId="0" fillId="6" borderId="0" xfId="0" applyFill="1"/>
    <xf numFmtId="42" fontId="0" fillId="11" borderId="12" xfId="0" applyNumberFormat="1" applyFill="1" applyBorder="1"/>
    <xf numFmtId="42" fontId="0" fillId="7" borderId="12" xfId="0" applyNumberFormat="1" applyFill="1" applyBorder="1"/>
    <xf numFmtId="0" fontId="9" fillId="2" borderId="12" xfId="0" applyFont="1" applyFill="1" applyBorder="1"/>
    <xf numFmtId="165" fontId="0" fillId="0" borderId="12" xfId="0" applyNumberFormat="1" applyBorder="1"/>
    <xf numFmtId="0" fontId="0" fillId="0" borderId="0" xfId="0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12" xfId="0" applyFont="1" applyFill="1" applyBorder="1"/>
    <xf numFmtId="0" fontId="11" fillId="0" borderId="12" xfId="0" applyFont="1" applyBorder="1"/>
    <xf numFmtId="166" fontId="4" fillId="4" borderId="6" xfId="0" applyNumberFormat="1" applyFont="1" applyFill="1" applyBorder="1"/>
    <xf numFmtId="166" fontId="2" fillId="0" borderId="0" xfId="1" applyNumberFormat="1" applyFont="1"/>
    <xf numFmtId="165" fontId="1" fillId="0" borderId="12" xfId="2" applyNumberFormat="1" applyFont="1" applyBorder="1" applyAlignment="1">
      <alignment horizontal="center"/>
    </xf>
    <xf numFmtId="166" fontId="3" fillId="0" borderId="12" xfId="0" applyNumberFormat="1" applyFont="1" applyBorder="1"/>
    <xf numFmtId="166" fontId="12" fillId="6" borderId="12" xfId="0" applyNumberFormat="1" applyFont="1" applyFill="1" applyBorder="1" applyAlignment="1">
      <alignment horizontal="center"/>
    </xf>
    <xf numFmtId="0" fontId="9" fillId="2" borderId="16" xfId="0" applyFont="1" applyFill="1" applyBorder="1"/>
    <xf numFmtId="166" fontId="13" fillId="0" borderId="17" xfId="0" applyNumberFormat="1" applyFont="1" applyBorder="1"/>
    <xf numFmtId="0" fontId="5" fillId="2" borderId="18" xfId="0" applyFont="1" applyFill="1" applyBorder="1"/>
    <xf numFmtId="0" fontId="5" fillId="2" borderId="16" xfId="0" applyFont="1" applyFill="1" applyBorder="1"/>
    <xf numFmtId="0" fontId="5" fillId="2" borderId="19" xfId="0" applyFont="1" applyFill="1" applyBorder="1"/>
    <xf numFmtId="0" fontId="5" fillId="2" borderId="20" xfId="0" applyFont="1" applyFill="1" applyBorder="1"/>
    <xf numFmtId="0" fontId="5" fillId="2" borderId="21" xfId="0" applyFont="1" applyFill="1" applyBorder="1"/>
    <xf numFmtId="0" fontId="0" fillId="0" borderId="16" xfId="0" applyBorder="1"/>
    <xf numFmtId="0" fontId="5" fillId="2" borderId="19" xfId="0" applyFont="1" applyFill="1" applyBorder="1" applyAlignment="1">
      <alignment horizontal="right"/>
    </xf>
    <xf numFmtId="0" fontId="0" fillId="0" borderId="16" xfId="0" applyBorder="1" applyAlignment="1">
      <alignment wrapText="1"/>
    </xf>
    <xf numFmtId="0" fontId="0" fillId="0" borderId="20" xfId="0" applyBorder="1"/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left"/>
    </xf>
    <xf numFmtId="0" fontId="5" fillId="2" borderId="12" xfId="0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6" fontId="4" fillId="12" borderId="12" xfId="0" applyNumberFormat="1" applyFon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4" fillId="6" borderId="17" xfId="0" applyNumberFormat="1" applyFont="1" applyFill="1" applyBorder="1" applyAlignment="1">
      <alignment horizontal="center"/>
    </xf>
    <xf numFmtId="166" fontId="4" fillId="6" borderId="22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9" fontId="0" fillId="5" borderId="17" xfId="0" applyNumberFormat="1" applyFill="1" applyBorder="1" applyAlignment="1">
      <alignment horizontal="center"/>
    </xf>
    <xf numFmtId="166" fontId="4" fillId="12" borderId="22" xfId="0" applyNumberFormat="1" applyFont="1" applyFill="1" applyBorder="1" applyAlignment="1">
      <alignment horizontal="center"/>
    </xf>
    <xf numFmtId="166" fontId="2" fillId="0" borderId="24" xfId="1" applyNumberFormat="1" applyFont="1" applyBorder="1" applyAlignment="1">
      <alignment horizontal="center"/>
    </xf>
    <xf numFmtId="0" fontId="0" fillId="0" borderId="25" xfId="0" applyBorder="1"/>
    <xf numFmtId="2" fontId="0" fillId="0" borderId="17" xfId="0" applyNumberFormat="1" applyBorder="1" applyAlignment="1">
      <alignment horizontal="center"/>
    </xf>
    <xf numFmtId="165" fontId="3" fillId="0" borderId="17" xfId="2" applyNumberFormat="1" applyFont="1" applyBorder="1" applyAlignment="1">
      <alignment horizontal="center"/>
    </xf>
    <xf numFmtId="0" fontId="2" fillId="0" borderId="0" xfId="0" applyFont="1"/>
    <xf numFmtId="165" fontId="0" fillId="0" borderId="12" xfId="0" applyNumberFormat="1" applyBorder="1" applyAlignment="1">
      <alignment horizontal="center"/>
    </xf>
    <xf numFmtId="42" fontId="12" fillId="6" borderId="12" xfId="0" applyNumberFormat="1" applyFont="1" applyFill="1" applyBorder="1" applyAlignment="1">
      <alignment horizontal="center"/>
    </xf>
    <xf numFmtId="166" fontId="14" fillId="0" borderId="12" xfId="0" applyNumberFormat="1" applyFont="1" applyBorder="1"/>
    <xf numFmtId="167" fontId="0" fillId="0" borderId="12" xfId="0" applyNumberFormat="1" applyBorder="1"/>
    <xf numFmtId="166" fontId="15" fillId="0" borderId="17" xfId="0" applyNumberFormat="1" applyFont="1" applyBorder="1"/>
    <xf numFmtId="0" fontId="0" fillId="0" borderId="26" xfId="0" applyBorder="1"/>
    <xf numFmtId="0" fontId="0" fillId="3" borderId="27" xfId="0" applyFill="1" applyBorder="1"/>
    <xf numFmtId="0" fontId="16" fillId="2" borderId="0" xfId="0" applyFont="1" applyFill="1"/>
    <xf numFmtId="42" fontId="1" fillId="13" borderId="12" xfId="1" applyFont="1" applyFill="1" applyBorder="1"/>
    <xf numFmtId="167" fontId="0" fillId="3" borderId="12" xfId="0" applyNumberFormat="1" applyFill="1" applyBorder="1"/>
    <xf numFmtId="167" fontId="0" fillId="0" borderId="0" xfId="0" applyNumberFormat="1"/>
    <xf numFmtId="167" fontId="0" fillId="10" borderId="12" xfId="0" applyNumberFormat="1" applyFill="1" applyBorder="1"/>
    <xf numFmtId="42" fontId="1" fillId="0" borderId="0" xfId="1" applyFont="1"/>
    <xf numFmtId="42" fontId="16" fillId="2" borderId="0" xfId="1" applyFont="1" applyFill="1" applyAlignment="1"/>
    <xf numFmtId="42" fontId="1" fillId="0" borderId="12" xfId="1" applyFont="1" applyBorder="1"/>
    <xf numFmtId="42" fontId="1" fillId="0" borderId="12" xfId="1" applyFont="1" applyBorder="1" applyAlignment="1">
      <alignment horizontal="right"/>
    </xf>
    <xf numFmtId="0" fontId="0" fillId="14" borderId="12" xfId="0" applyFill="1" applyBorder="1"/>
    <xf numFmtId="0" fontId="0" fillId="14" borderId="12" xfId="0" applyFill="1" applyBorder="1" applyAlignment="1">
      <alignment horizontal="center"/>
    </xf>
    <xf numFmtId="166" fontId="0" fillId="14" borderId="12" xfId="0" applyNumberFormat="1" applyFill="1" applyBorder="1" applyAlignment="1">
      <alignment horizontal="center"/>
    </xf>
    <xf numFmtId="10" fontId="3" fillId="0" borderId="12" xfId="2" applyNumberFormat="1" applyFont="1" applyBorder="1" applyAlignment="1">
      <alignment horizontal="center"/>
    </xf>
    <xf numFmtId="0" fontId="0" fillId="15" borderId="23" xfId="0" applyFill="1" applyBorder="1"/>
    <xf numFmtId="0" fontId="0" fillId="15" borderId="17" xfId="0" applyFill="1" applyBorder="1" applyAlignment="1">
      <alignment horizontal="center"/>
    </xf>
    <xf numFmtId="166" fontId="0" fillId="15" borderId="17" xfId="0" applyNumberFormat="1" applyFill="1" applyBorder="1" applyAlignment="1">
      <alignment horizontal="center"/>
    </xf>
    <xf numFmtId="166" fontId="0" fillId="14" borderId="28" xfId="0" applyNumberFormat="1" applyFill="1" applyBorder="1" applyAlignment="1">
      <alignment horizontal="center"/>
    </xf>
    <xf numFmtId="166" fontId="0" fillId="14" borderId="29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9" fontId="0" fillId="0" borderId="0" xfId="0" applyNumberFormat="1"/>
    <xf numFmtId="42" fontId="17" fillId="0" borderId="12" xfId="1" applyFont="1" applyBorder="1" applyAlignment="1">
      <alignment wrapText="1"/>
    </xf>
    <xf numFmtId="166" fontId="4" fillId="6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12" fillId="3" borderId="12" xfId="0" applyNumberFormat="1" applyFont="1" applyFill="1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165" fontId="0" fillId="3" borderId="12" xfId="0" applyNumberFormat="1" applyFill="1" applyBorder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8" fillId="0" borderId="0" xfId="0" applyFont="1"/>
    <xf numFmtId="0" fontId="5" fillId="2" borderId="31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0" fontId="4" fillId="3" borderId="1" xfId="0" applyFont="1" applyFill="1" applyBorder="1" applyAlignment="1">
      <alignment horizontal="center"/>
    </xf>
    <xf numFmtId="0" fontId="8" fillId="0" borderId="0" xfId="0" applyFont="1"/>
    <xf numFmtId="0" fontId="9" fillId="0" borderId="12" xfId="0" applyFont="1" applyBorder="1"/>
    <xf numFmtId="166" fontId="9" fillId="0" borderId="12" xfId="0" applyNumberFormat="1" applyFont="1" applyBorder="1" applyAlignment="1">
      <alignment horizontal="center"/>
    </xf>
    <xf numFmtId="165" fontId="8" fillId="0" borderId="12" xfId="2" applyNumberFormat="1" applyFont="1" applyFill="1" applyBorder="1" applyAlignment="1">
      <alignment horizontal="center"/>
    </xf>
    <xf numFmtId="166" fontId="8" fillId="0" borderId="12" xfId="0" applyNumberFormat="1" applyFont="1" applyBorder="1"/>
    <xf numFmtId="0" fontId="19" fillId="0" borderId="0" xfId="0" applyFont="1"/>
    <xf numFmtId="42" fontId="9" fillId="0" borderId="12" xfId="0" applyNumberFormat="1" applyFont="1" applyBorder="1" applyAlignment="1">
      <alignment horizontal="center"/>
    </xf>
    <xf numFmtId="42" fontId="8" fillId="0" borderId="0" xfId="1" applyFont="1" applyFill="1"/>
    <xf numFmtId="42" fontId="19" fillId="0" borderId="0" xfId="1" applyFont="1" applyFill="1"/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0" fontId="20" fillId="0" borderId="12" xfId="0" applyFont="1" applyBorder="1"/>
    <xf numFmtId="0" fontId="4" fillId="2" borderId="12" xfId="0" applyFont="1" applyFill="1" applyBorder="1" applyAlignment="1">
      <alignment horizontal="center"/>
    </xf>
    <xf numFmtId="0" fontId="20" fillId="0" borderId="12" xfId="0" applyFont="1" applyBorder="1" applyAlignment="1">
      <alignment wrapText="1"/>
    </xf>
    <xf numFmtId="166" fontId="20" fillId="0" borderId="12" xfId="0" applyNumberFormat="1" applyFont="1" applyBorder="1" applyAlignment="1">
      <alignment horizontal="center"/>
    </xf>
    <xf numFmtId="165" fontId="20" fillId="0" borderId="17" xfId="2" applyNumberFormat="1" applyFont="1" applyBorder="1" applyAlignment="1">
      <alignment horizontal="center"/>
    </xf>
    <xf numFmtId="2" fontId="20" fillId="0" borderId="12" xfId="0" applyNumberFormat="1" applyFont="1" applyBorder="1" applyAlignment="1">
      <alignment horizontal="center"/>
    </xf>
    <xf numFmtId="9" fontId="20" fillId="2" borderId="12" xfId="0" applyNumberFormat="1" applyFont="1" applyFill="1" applyBorder="1" applyAlignment="1">
      <alignment horizontal="center"/>
    </xf>
    <xf numFmtId="166" fontId="20" fillId="0" borderId="0" xfId="1" applyNumberFormat="1" applyFont="1"/>
    <xf numFmtId="0" fontId="20" fillId="0" borderId="12" xfId="0" applyFont="1" applyBorder="1" applyAlignment="1">
      <alignment horizontal="right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42" fontId="1" fillId="6" borderId="0" xfId="1" applyFont="1" applyFill="1"/>
    <xf numFmtId="166" fontId="4" fillId="4" borderId="6" xfId="0" applyNumberFormat="1" applyFont="1" applyFill="1" applyBorder="1" applyAlignment="1">
      <alignment horizontal="center"/>
    </xf>
    <xf numFmtId="0" fontId="5" fillId="2" borderId="34" xfId="0" applyFont="1" applyFill="1" applyBorder="1"/>
    <xf numFmtId="0" fontId="25" fillId="4" borderId="35" xfId="0" applyFont="1" applyFill="1" applyBorder="1"/>
    <xf numFmtId="0" fontId="25" fillId="4" borderId="36" xfId="0" applyFont="1" applyFill="1" applyBorder="1" applyAlignment="1">
      <alignment horizontal="center"/>
    </xf>
    <xf numFmtId="14" fontId="25" fillId="4" borderId="37" xfId="0" applyNumberFormat="1" applyFont="1" applyFill="1" applyBorder="1"/>
    <xf numFmtId="14" fontId="25" fillId="4" borderId="38" xfId="0" applyNumberFormat="1" applyFont="1" applyFill="1" applyBorder="1"/>
    <xf numFmtId="0" fontId="25" fillId="4" borderId="12" xfId="0" applyFont="1" applyFill="1" applyBorder="1"/>
    <xf numFmtId="0" fontId="25" fillId="4" borderId="39" xfId="0" applyFont="1" applyFill="1" applyBorder="1" applyAlignment="1">
      <alignment horizontal="right"/>
    </xf>
    <xf numFmtId="0" fontId="25" fillId="4" borderId="12" xfId="0" applyFont="1" applyFill="1" applyBorder="1" applyAlignment="1">
      <alignment horizontal="center"/>
    </xf>
    <xf numFmtId="0" fontId="25" fillId="4" borderId="15" xfId="0" applyFont="1" applyFill="1" applyBorder="1" applyAlignment="1">
      <alignment horizontal="right"/>
    </xf>
    <xf numFmtId="0" fontId="25" fillId="7" borderId="12" xfId="0" applyFont="1" applyFill="1" applyBorder="1" applyAlignment="1">
      <alignment horizontal="right"/>
    </xf>
    <xf numFmtId="0" fontId="25" fillId="6" borderId="12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65" fontId="0" fillId="16" borderId="17" xfId="0" applyNumberFormat="1" applyFill="1" applyBorder="1" applyAlignment="1">
      <alignment horizontal="center"/>
    </xf>
    <xf numFmtId="0" fontId="25" fillId="4" borderId="3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22" fillId="3" borderId="1" xfId="0" applyFont="1" applyFill="1" applyBorder="1"/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165" fontId="0" fillId="3" borderId="12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/>
    <xf numFmtId="0" fontId="21" fillId="3" borderId="1" xfId="0" applyFont="1" applyFill="1" applyBorder="1" applyAlignment="1">
      <alignment horizontal="left"/>
    </xf>
    <xf numFmtId="166" fontId="4" fillId="3" borderId="17" xfId="0" applyNumberFormat="1" applyFont="1" applyFill="1" applyBorder="1" applyAlignment="1">
      <alignment horizontal="center"/>
    </xf>
    <xf numFmtId="0" fontId="31" fillId="6" borderId="0" xfId="0" applyFont="1" applyFill="1"/>
    <xf numFmtId="0" fontId="24" fillId="16" borderId="1" xfId="0" applyFont="1" applyFill="1" applyBorder="1" applyAlignment="1">
      <alignment horizontal="center"/>
    </xf>
    <xf numFmtId="0" fontId="31" fillId="6" borderId="0" xfId="0" applyFont="1" applyFill="1" applyAlignment="1">
      <alignment horizontal="center"/>
    </xf>
    <xf numFmtId="0" fontId="25" fillId="4" borderId="37" xfId="0" applyFont="1" applyFill="1" applyBorder="1" applyAlignment="1">
      <alignment horizontal="center"/>
    </xf>
    <xf numFmtId="0" fontId="25" fillId="4" borderId="38" xfId="0" applyFont="1" applyFill="1" applyBorder="1" applyAlignment="1">
      <alignment horizontal="center"/>
    </xf>
    <xf numFmtId="0" fontId="26" fillId="2" borderId="0" xfId="0" applyFont="1" applyFill="1" applyAlignment="1">
      <alignment horizontal="center" wrapText="1"/>
    </xf>
    <xf numFmtId="0" fontId="27" fillId="2" borderId="0" xfId="0" applyFont="1" applyFill="1" applyAlignment="1">
      <alignment horizontal="center" wrapText="1"/>
    </xf>
    <xf numFmtId="0" fontId="27" fillId="2" borderId="4" xfId="0" applyFont="1" applyFill="1" applyBorder="1" applyAlignment="1">
      <alignment horizontal="center" wrapText="1"/>
    </xf>
    <xf numFmtId="0" fontId="25" fillId="4" borderId="40" xfId="0" applyFont="1" applyFill="1" applyBorder="1" applyAlignment="1">
      <alignment horizontal="center"/>
    </xf>
    <xf numFmtId="0" fontId="25" fillId="4" borderId="41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14" fontId="25" fillId="4" borderId="37" xfId="0" applyNumberFormat="1" applyFont="1" applyFill="1" applyBorder="1" applyAlignment="1">
      <alignment horizontal="center"/>
    </xf>
    <xf numFmtId="0" fontId="25" fillId="4" borderId="32" xfId="0" applyFont="1" applyFill="1" applyBorder="1" applyAlignment="1">
      <alignment horizontal="center"/>
    </xf>
    <xf numFmtId="164" fontId="1" fillId="4" borderId="6" xfId="1" applyNumberFormat="1" applyFont="1" applyFill="1" applyBorder="1" applyAlignment="1">
      <alignment horizontal="center"/>
    </xf>
    <xf numFmtId="164" fontId="1" fillId="5" borderId="6" xfId="1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4" xfId="0" applyFont="1" applyFill="1" applyBorder="1" applyAlignment="1">
      <alignment horizontal="center"/>
    </xf>
    <xf numFmtId="15" fontId="28" fillId="8" borderId="12" xfId="0" applyNumberFormat="1" applyFont="1" applyFill="1" applyBorder="1" applyAlignment="1">
      <alignment horizontal="center"/>
    </xf>
    <xf numFmtId="0" fontId="28" fillId="8" borderId="12" xfId="0" applyFont="1" applyFill="1" applyBorder="1" applyAlignment="1">
      <alignment horizontal="center"/>
    </xf>
    <xf numFmtId="0" fontId="29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8" fontId="0" fillId="0" borderId="30" xfId="0" applyNumberFormat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9" fontId="1" fillId="4" borderId="0" xfId="1" applyNumberFormat="1" applyFont="1" applyFill="1" applyAlignment="1">
      <alignment horizontal="center"/>
    </xf>
    <xf numFmtId="42" fontId="1" fillId="4" borderId="0" xfId="1" applyFont="1" applyFill="1" applyAlignment="1">
      <alignment horizontal="center"/>
    </xf>
    <xf numFmtId="166" fontId="4" fillId="7" borderId="0" xfId="0" applyNumberFormat="1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0" fontId="5" fillId="2" borderId="42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 wrapText="1"/>
    </xf>
    <xf numFmtId="0" fontId="9" fillId="2" borderId="43" xfId="0" applyFont="1" applyFill="1" applyBorder="1" applyAlignment="1">
      <alignment horizontal="center" wrapText="1"/>
    </xf>
    <xf numFmtId="0" fontId="9" fillId="2" borderId="44" xfId="0" applyFont="1" applyFill="1" applyBorder="1" applyAlignment="1">
      <alignment horizontal="center" wrapText="1"/>
    </xf>
    <xf numFmtId="0" fontId="9" fillId="2" borderId="45" xfId="0" applyFont="1" applyFill="1" applyBorder="1" applyAlignment="1">
      <alignment horizontal="center" wrapText="1"/>
    </xf>
    <xf numFmtId="0" fontId="9" fillId="2" borderId="46" xfId="0" applyFont="1" applyFill="1" applyBorder="1" applyAlignment="1">
      <alignment horizontal="center" wrapText="1"/>
    </xf>
    <xf numFmtId="9" fontId="0" fillId="4" borderId="0" xfId="0" applyNumberFormat="1" applyFill="1" applyAlignment="1">
      <alignment horizontal="center"/>
    </xf>
    <xf numFmtId="0" fontId="28" fillId="2" borderId="0" xfId="0" applyFont="1" applyFill="1" applyAlignment="1">
      <alignment horizontal="center"/>
    </xf>
    <xf numFmtId="42" fontId="8" fillId="0" borderId="30" xfId="0" applyNumberFormat="1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9" fillId="2" borderId="12" xfId="0" applyFont="1" applyFill="1" applyBorder="1" applyAlignment="1">
      <alignment horizontal="center" wrapText="1"/>
    </xf>
    <xf numFmtId="0" fontId="30" fillId="2" borderId="29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166" fontId="8" fillId="0" borderId="30" xfId="0" applyNumberFormat="1" applyFont="1" applyBorder="1" applyAlignment="1">
      <alignment horizontal="center"/>
    </xf>
    <xf numFmtId="166" fontId="8" fillId="0" borderId="32" xfId="0" applyNumberFormat="1" applyFont="1" applyBorder="1" applyAlignment="1">
      <alignment horizontal="center"/>
    </xf>
    <xf numFmtId="0" fontId="28" fillId="2" borderId="12" xfId="0" applyFont="1" applyFill="1" applyBorder="1" applyAlignment="1">
      <alignment horizontal="center"/>
    </xf>
    <xf numFmtId="42" fontId="0" fillId="17" borderId="30" xfId="0" applyNumberFormat="1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2" borderId="47" xfId="0" applyFont="1" applyFill="1" applyBorder="1" applyAlignment="1">
      <alignment horizontal="center" wrapText="1"/>
    </xf>
    <xf numFmtId="0" fontId="5" fillId="2" borderId="48" xfId="0" applyFont="1" applyFill="1" applyBorder="1" applyAlignment="1">
      <alignment horizontal="center" wrapText="1"/>
    </xf>
    <xf numFmtId="166" fontId="10" fillId="0" borderId="30" xfId="0" applyNumberFormat="1" applyFont="1" applyBorder="1" applyAlignment="1">
      <alignment horizontal="center"/>
    </xf>
    <xf numFmtId="166" fontId="10" fillId="0" borderId="32" xfId="0" applyNumberFormat="1" applyFont="1" applyBorder="1" applyAlignment="1">
      <alignment horizontal="center"/>
    </xf>
    <xf numFmtId="0" fontId="9" fillId="2" borderId="18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5" fillId="2" borderId="49" xfId="0" applyFont="1" applyFill="1" applyBorder="1" applyAlignment="1">
      <alignment horizontal="center" wrapText="1"/>
    </xf>
    <xf numFmtId="0" fontId="9" fillId="2" borderId="50" xfId="0" applyFont="1" applyFill="1" applyBorder="1" applyAlignment="1">
      <alignment horizontal="center" wrapText="1"/>
    </xf>
    <xf numFmtId="0" fontId="9" fillId="2" borderId="51" xfId="0" applyFont="1" applyFill="1" applyBorder="1" applyAlignment="1">
      <alignment horizontal="center" wrapText="1"/>
    </xf>
    <xf numFmtId="0" fontId="5" fillId="2" borderId="52" xfId="0" applyFont="1" applyFill="1" applyBorder="1" applyAlignment="1">
      <alignment horizontal="center" wrapText="1"/>
    </xf>
    <xf numFmtId="164" fontId="0" fillId="0" borderId="12" xfId="0" applyNumberFormat="1" applyBorder="1" applyAlignment="1">
      <alignment horizontal="center"/>
    </xf>
    <xf numFmtId="0" fontId="30" fillId="2" borderId="54" xfId="0" applyFont="1" applyFill="1" applyBorder="1" applyAlignment="1">
      <alignment horizontal="center"/>
    </xf>
    <xf numFmtId="0" fontId="30" fillId="2" borderId="48" xfId="0" applyFont="1" applyFill="1" applyBorder="1" applyAlignment="1">
      <alignment horizontal="center"/>
    </xf>
    <xf numFmtId="0" fontId="30" fillId="2" borderId="20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4" fillId="18" borderId="55" xfId="0" applyFont="1" applyFill="1" applyBorder="1" applyAlignment="1">
      <alignment horizontal="center"/>
    </xf>
    <xf numFmtId="0" fontId="4" fillId="18" borderId="56" xfId="0" applyFont="1" applyFill="1" applyBorder="1" applyAlignment="1">
      <alignment horizontal="center"/>
    </xf>
    <xf numFmtId="166" fontId="24" fillId="18" borderId="56" xfId="0" applyNumberFormat="1" applyFont="1" applyFill="1" applyBorder="1" applyAlignment="1">
      <alignment horizontal="center"/>
    </xf>
    <xf numFmtId="166" fontId="24" fillId="18" borderId="57" xfId="0" applyNumberFormat="1" applyFont="1" applyFill="1" applyBorder="1" applyAlignment="1">
      <alignment horizontal="center"/>
    </xf>
    <xf numFmtId="166" fontId="4" fillId="3" borderId="24" xfId="0" applyNumberFormat="1" applyFont="1" applyFill="1" applyBorder="1" applyAlignment="1">
      <alignment horizontal="center"/>
    </xf>
    <xf numFmtId="166" fontId="4" fillId="3" borderId="53" xfId="0" applyNumberFormat="1" applyFont="1" applyFill="1" applyBorder="1" applyAlignment="1">
      <alignment horizontal="center"/>
    </xf>
    <xf numFmtId="0" fontId="30" fillId="2" borderId="58" xfId="0" applyFont="1" applyFill="1" applyBorder="1" applyAlignment="1">
      <alignment horizontal="center"/>
    </xf>
    <xf numFmtId="0" fontId="30" fillId="2" borderId="59" xfId="0" applyFont="1" applyFill="1" applyBorder="1" applyAlignment="1">
      <alignment horizontal="center"/>
    </xf>
    <xf numFmtId="9" fontId="0" fillId="4" borderId="20" xfId="0" applyNumberForma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166" fontId="4" fillId="7" borderId="24" xfId="0" applyNumberFormat="1" applyFont="1" applyFill="1" applyBorder="1" applyAlignment="1">
      <alignment horizontal="center"/>
    </xf>
    <xf numFmtId="166" fontId="4" fillId="7" borderId="53" xfId="0" applyNumberFormat="1" applyFont="1" applyFill="1" applyBorder="1" applyAlignment="1">
      <alignment horizontal="center"/>
    </xf>
    <xf numFmtId="165" fontId="0" fillId="4" borderId="20" xfId="0" applyNumberFormat="1" applyFill="1" applyBorder="1" applyAlignment="1">
      <alignment horizontal="center"/>
    </xf>
    <xf numFmtId="165" fontId="0" fillId="4" borderId="21" xfId="0" applyNumberFormat="1" applyFill="1" applyBorder="1" applyAlignment="1">
      <alignment horizontal="center"/>
    </xf>
    <xf numFmtId="9" fontId="0" fillId="4" borderId="21" xfId="0" applyNumberFormat="1" applyFill="1" applyBorder="1" applyAlignment="1">
      <alignment horizontal="center"/>
    </xf>
    <xf numFmtId="166" fontId="4" fillId="19" borderId="24" xfId="0" applyNumberFormat="1" applyFont="1" applyFill="1" applyBorder="1" applyAlignment="1">
      <alignment horizontal="center"/>
    </xf>
    <xf numFmtId="166" fontId="4" fillId="19" borderId="53" xfId="0" applyNumberFormat="1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3" fillId="0" borderId="0" xfId="0" applyFont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9.png"/><Relationship Id="rId7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2.jpeg"/><Relationship Id="rId5" Type="http://schemas.openxmlformats.org/officeDocument/2006/relationships/image" Target="../media/image11.png"/><Relationship Id="rId10" Type="http://schemas.openxmlformats.org/officeDocument/2006/relationships/image" Target="../media/image8.png"/><Relationship Id="rId4" Type="http://schemas.openxmlformats.org/officeDocument/2006/relationships/image" Target="../media/image10.png"/><Relationship Id="rId9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279400</xdr:colOff>
      <xdr:row>2</xdr:row>
      <xdr:rowOff>63500</xdr:rowOff>
    </xdr:from>
    <xdr:to>
      <xdr:col>6</xdr:col>
      <xdr:colOff>1346200</xdr:colOff>
      <xdr:row>5</xdr:row>
      <xdr:rowOff>101600</xdr:rowOff>
    </xdr:to>
    <xdr:pic>
      <xdr:nvPicPr>
        <xdr:cNvPr id="62117" name="Imagen 4">
          <a:extLst>
            <a:ext uri="{FF2B5EF4-FFF2-40B4-BE49-F238E27FC236}">
              <a16:creationId xmlns:a16="http://schemas.microsoft.com/office/drawing/2014/main" id="{D5FEFAB2-5752-9B75-F974-D2C72E00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1358900"/>
          <a:ext cx="1066800" cy="774700"/>
        </a:xfrm>
        <a:prstGeom prst="rect">
          <a:avLst/>
        </a:prstGeom>
        <a:solidFill>
          <a:srgbClr val="84E29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0</xdr:row>
      <xdr:rowOff>177800</xdr:rowOff>
    </xdr:from>
    <xdr:to>
      <xdr:col>7</xdr:col>
      <xdr:colOff>0</xdr:colOff>
      <xdr:row>2</xdr:row>
      <xdr:rowOff>38100</xdr:rowOff>
    </xdr:to>
    <xdr:pic>
      <xdr:nvPicPr>
        <xdr:cNvPr id="62118" name="Imagen 5">
          <a:extLst>
            <a:ext uri="{FF2B5EF4-FFF2-40B4-BE49-F238E27FC236}">
              <a16:creationId xmlns:a16="http://schemas.microsoft.com/office/drawing/2014/main" id="{385D7795-FFB3-02D7-57AE-284A9142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600" y="177800"/>
          <a:ext cx="2273300" cy="115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0</xdr:row>
      <xdr:rowOff>50800</xdr:rowOff>
    </xdr:from>
    <xdr:to>
      <xdr:col>2</xdr:col>
      <xdr:colOff>1816100</xdr:colOff>
      <xdr:row>0</xdr:row>
      <xdr:rowOff>520700</xdr:rowOff>
    </xdr:to>
    <xdr:pic>
      <xdr:nvPicPr>
        <xdr:cNvPr id="62119" name="Imagen 6" descr="Resultado de imagen para metlife logo png">
          <a:extLst>
            <a:ext uri="{FF2B5EF4-FFF2-40B4-BE49-F238E27FC236}">
              <a16:creationId xmlns:a16="http://schemas.microsoft.com/office/drawing/2014/main" id="{7192E5E7-293C-D9DA-70CC-EF1D7E6A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0" y="50800"/>
          <a:ext cx="25400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77470</xdr:colOff>
      <xdr:row>0</xdr:row>
      <xdr:rowOff>546100</xdr:rowOff>
    </xdr:from>
    <xdr:ext cx="1762294" cy="2899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573FFCB-DE38-E3FC-74F3-4EB548B356D2}"/>
            </a:ext>
          </a:extLst>
        </xdr:cNvPr>
        <xdr:cNvSpPr txBox="1"/>
      </xdr:nvSpPr>
      <xdr:spPr>
        <a:xfrm>
          <a:off x="2384637" y="546100"/>
          <a:ext cx="1762294" cy="289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CO" sz="1100"/>
            <a:t>Descubriendo la vida juntos</a:t>
          </a:r>
        </a:p>
      </xdr:txBody>
    </xdr:sp>
    <xdr:clientData/>
  </xdr:oneCellAnchor>
  <xdr:oneCellAnchor>
    <xdr:from>
      <xdr:col>6</xdr:col>
      <xdr:colOff>394970</xdr:colOff>
      <xdr:row>4</xdr:row>
      <xdr:rowOff>5080</xdr:rowOff>
    </xdr:from>
    <xdr:ext cx="843436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17F7421-B24F-EAD7-7AB6-35ABB2347F41}"/>
            </a:ext>
          </a:extLst>
        </xdr:cNvPr>
        <xdr:cNvSpPr txBox="1"/>
      </xdr:nvSpPr>
      <xdr:spPr>
        <a:xfrm>
          <a:off x="5617845" y="1798955"/>
          <a:ext cx="8434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40%      60</a:t>
          </a:r>
          <a:r>
            <a:rPr lang="es-MX" sz="1100" baseline="0"/>
            <a:t>%</a:t>
          </a:r>
          <a:endParaRPr lang="es-MX" sz="1100"/>
        </a:p>
      </xdr:txBody>
    </xdr:sp>
    <xdr:clientData/>
  </xdr:oneCellAnchor>
  <xdr:oneCellAnchor>
    <xdr:from>
      <xdr:col>1</xdr:col>
      <xdr:colOff>607060</xdr:colOff>
      <xdr:row>56</xdr:row>
      <xdr:rowOff>33020</xdr:rowOff>
    </xdr:from>
    <xdr:ext cx="7786429" cy="51219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B8B2B33-0D19-FEBE-8294-242C4F124C1A}"/>
            </a:ext>
          </a:extLst>
        </xdr:cNvPr>
        <xdr:cNvSpPr txBox="1"/>
      </xdr:nvSpPr>
      <xdr:spPr>
        <a:xfrm>
          <a:off x="1435100" y="124333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554990</xdr:colOff>
      <xdr:row>56</xdr:row>
      <xdr:rowOff>38100</xdr:rowOff>
    </xdr:from>
    <xdr:ext cx="7924011" cy="531809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DE9BBDC-EAB4-3FFF-42FF-54EFE5A72E04}"/>
            </a:ext>
          </a:extLst>
        </xdr:cNvPr>
        <xdr:cNvSpPr txBox="1"/>
      </xdr:nvSpPr>
      <xdr:spPr>
        <a:xfrm>
          <a:off x="1397000" y="124460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586740</xdr:colOff>
      <xdr:row>56</xdr:row>
      <xdr:rowOff>38100</xdr:rowOff>
    </xdr:from>
    <xdr:ext cx="7911339" cy="531809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7D02A2F1-C30E-0496-78B7-DDB2E65AE663}"/>
            </a:ext>
          </a:extLst>
        </xdr:cNvPr>
        <xdr:cNvSpPr txBox="1"/>
      </xdr:nvSpPr>
      <xdr:spPr>
        <a:xfrm>
          <a:off x="1409700" y="124460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586740</xdr:colOff>
      <xdr:row>60</xdr:row>
      <xdr:rowOff>176530</xdr:rowOff>
    </xdr:from>
    <xdr:ext cx="7911339" cy="535462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1B830004-209A-4915-4D67-0FCFEFB4A77D}"/>
            </a:ext>
          </a:extLst>
        </xdr:cNvPr>
        <xdr:cNvSpPr txBox="1"/>
      </xdr:nvSpPr>
      <xdr:spPr>
        <a:xfrm>
          <a:off x="1409700" y="133985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586740</xdr:colOff>
      <xdr:row>65</xdr:row>
      <xdr:rowOff>81280</xdr:rowOff>
    </xdr:from>
    <xdr:ext cx="7911339" cy="55413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CD2ACF0-810A-0531-E44B-55A2A3B1953A}"/>
            </a:ext>
          </a:extLst>
        </xdr:cNvPr>
        <xdr:cNvSpPr txBox="1"/>
      </xdr:nvSpPr>
      <xdr:spPr>
        <a:xfrm>
          <a:off x="1409700" y="143256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  <xdr:oneCellAnchor>
    <xdr:from>
      <xdr:col>1</xdr:col>
      <xdr:colOff>554990</xdr:colOff>
      <xdr:row>70</xdr:row>
      <xdr:rowOff>20320</xdr:rowOff>
    </xdr:from>
    <xdr:ext cx="7924011" cy="523055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F1F9EA8-7B34-A5D7-4950-542945F69E5E}"/>
            </a:ext>
          </a:extLst>
        </xdr:cNvPr>
        <xdr:cNvSpPr txBox="1"/>
      </xdr:nvSpPr>
      <xdr:spPr>
        <a:xfrm>
          <a:off x="1397000" y="15278100"/>
          <a:ext cx="781050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MX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1270000</xdr:colOff>
      <xdr:row>4</xdr:row>
      <xdr:rowOff>0</xdr:rowOff>
    </xdr:from>
    <xdr:to>
      <xdr:col>5</xdr:col>
      <xdr:colOff>12700</xdr:colOff>
      <xdr:row>6</xdr:row>
      <xdr:rowOff>50800</xdr:rowOff>
    </xdr:to>
    <xdr:pic>
      <xdr:nvPicPr>
        <xdr:cNvPr id="60804" name="Imagen 1">
          <a:extLst>
            <a:ext uri="{FF2B5EF4-FFF2-40B4-BE49-F238E27FC236}">
              <a16:creationId xmlns:a16="http://schemas.microsoft.com/office/drawing/2014/main" id="{B3F37FEE-BA1B-E541-D0C2-9D79EC84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500" y="1358900"/>
          <a:ext cx="406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1295400</xdr:colOff>
      <xdr:row>8</xdr:row>
      <xdr:rowOff>0</xdr:rowOff>
    </xdr:from>
    <xdr:to>
      <xdr:col>4</xdr:col>
      <xdr:colOff>1625600</xdr:colOff>
      <xdr:row>10</xdr:row>
      <xdr:rowOff>12700</xdr:rowOff>
    </xdr:to>
    <xdr:pic>
      <xdr:nvPicPr>
        <xdr:cNvPr id="60805" name="Imagen 2">
          <a:extLst>
            <a:ext uri="{FF2B5EF4-FFF2-40B4-BE49-F238E27FC236}">
              <a16:creationId xmlns:a16="http://schemas.microsoft.com/office/drawing/2014/main" id="{33F14D7A-CC17-8898-753D-2F4E9A8D9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900" y="2209800"/>
          <a:ext cx="330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381000</xdr:colOff>
      <xdr:row>2</xdr:row>
      <xdr:rowOff>145474</xdr:rowOff>
    </xdr:from>
    <xdr:to>
      <xdr:col>21</xdr:col>
      <xdr:colOff>243611</xdr:colOff>
      <xdr:row>20</xdr:row>
      <xdr:rowOff>114629</xdr:rowOff>
    </xdr:to>
    <xdr:pic>
      <xdr:nvPicPr>
        <xdr:cNvPr id="60806" name="Imagen 6">
          <a:extLst>
            <a:ext uri="{FF2B5EF4-FFF2-40B4-BE49-F238E27FC236}">
              <a16:creationId xmlns:a16="http://schemas.microsoft.com/office/drawing/2014/main" id="{015844BD-67EE-4E1E-2F22-D999FB3DD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0583" y="1055641"/>
          <a:ext cx="2624861" cy="424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350850</xdr:colOff>
      <xdr:row>2</xdr:row>
      <xdr:rowOff>103523</xdr:rowOff>
    </xdr:from>
    <xdr:to>
      <xdr:col>24</xdr:col>
      <xdr:colOff>297295</xdr:colOff>
      <xdr:row>20</xdr:row>
      <xdr:rowOff>24391</xdr:rowOff>
    </xdr:to>
    <xdr:pic>
      <xdr:nvPicPr>
        <xdr:cNvPr id="60807" name="Imagen 9">
          <a:extLst>
            <a:ext uri="{FF2B5EF4-FFF2-40B4-BE49-F238E27FC236}">
              <a16:creationId xmlns:a16="http://schemas.microsoft.com/office/drawing/2014/main" id="{BAD8A42D-772C-3D4B-AFB9-814F8623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2683" y="1013690"/>
          <a:ext cx="2422945" cy="4190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4</xdr:col>
      <xdr:colOff>711200</xdr:colOff>
      <xdr:row>1</xdr:row>
      <xdr:rowOff>12700</xdr:rowOff>
    </xdr:to>
    <xdr:pic>
      <xdr:nvPicPr>
        <xdr:cNvPr id="60808" name="Imagen 2" descr="MetLife">
          <a:extLst>
            <a:ext uri="{FF2B5EF4-FFF2-40B4-BE49-F238E27FC236}">
              <a16:creationId xmlns:a16="http://schemas.microsoft.com/office/drawing/2014/main" id="{4387C501-8DF4-7D0B-C5B4-3A7AA15C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38100"/>
          <a:ext cx="25908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1270000</xdr:colOff>
      <xdr:row>4</xdr:row>
      <xdr:rowOff>0</xdr:rowOff>
    </xdr:from>
    <xdr:to>
      <xdr:col>4</xdr:col>
      <xdr:colOff>1676400</xdr:colOff>
      <xdr:row>6</xdr:row>
      <xdr:rowOff>50800</xdr:rowOff>
    </xdr:to>
    <xdr:pic>
      <xdr:nvPicPr>
        <xdr:cNvPr id="63714" name="Imagen 8">
          <a:extLst>
            <a:ext uri="{FF2B5EF4-FFF2-40B4-BE49-F238E27FC236}">
              <a16:creationId xmlns:a16="http://schemas.microsoft.com/office/drawing/2014/main" id="{5C9DF57F-CCBA-40C1-AF82-3135FC86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500" y="1257300"/>
          <a:ext cx="4064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1295400</xdr:colOff>
      <xdr:row>8</xdr:row>
      <xdr:rowOff>0</xdr:rowOff>
    </xdr:from>
    <xdr:to>
      <xdr:col>4</xdr:col>
      <xdr:colOff>1625600</xdr:colOff>
      <xdr:row>10</xdr:row>
      <xdr:rowOff>0</xdr:rowOff>
    </xdr:to>
    <xdr:pic>
      <xdr:nvPicPr>
        <xdr:cNvPr id="63715" name="Imagen 9">
          <a:extLst>
            <a:ext uri="{FF2B5EF4-FFF2-40B4-BE49-F238E27FC236}">
              <a16:creationId xmlns:a16="http://schemas.microsoft.com/office/drawing/2014/main" id="{DE3B2BBC-EAD5-E96C-BA0B-5E5345A90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4900" y="2146300"/>
          <a:ext cx="330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241300</xdr:colOff>
      <xdr:row>12</xdr:row>
      <xdr:rowOff>203200</xdr:rowOff>
    </xdr:from>
    <xdr:to>
      <xdr:col>6</xdr:col>
      <xdr:colOff>1143000</xdr:colOff>
      <xdr:row>22</xdr:row>
      <xdr:rowOff>25400</xdr:rowOff>
    </xdr:to>
    <xdr:pic>
      <xdr:nvPicPr>
        <xdr:cNvPr id="63716" name="Imagen 10">
          <a:extLst>
            <a:ext uri="{FF2B5EF4-FFF2-40B4-BE49-F238E27FC236}">
              <a16:creationId xmlns:a16="http://schemas.microsoft.com/office/drawing/2014/main" id="{2DDD4850-D3F5-A7B3-AA42-4A9EF4011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6900" y="3200400"/>
          <a:ext cx="901700" cy="223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177800</xdr:colOff>
      <xdr:row>5</xdr:row>
      <xdr:rowOff>190500</xdr:rowOff>
    </xdr:from>
    <xdr:to>
      <xdr:col>50</xdr:col>
      <xdr:colOff>266700</xdr:colOff>
      <xdr:row>18</xdr:row>
      <xdr:rowOff>38100</xdr:rowOff>
    </xdr:to>
    <xdr:pic>
      <xdr:nvPicPr>
        <xdr:cNvPr id="63717" name="Imagen 14">
          <a:extLst>
            <a:ext uri="{FF2B5EF4-FFF2-40B4-BE49-F238E27FC236}">
              <a16:creationId xmlns:a16="http://schemas.microsoft.com/office/drawing/2014/main" id="{F9DDC6D4-274E-B9D4-FCD3-B744DF170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3300" y="1651000"/>
          <a:ext cx="1739900" cy="287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762000</xdr:colOff>
      <xdr:row>0</xdr:row>
      <xdr:rowOff>431800</xdr:rowOff>
    </xdr:from>
    <xdr:to>
      <xdr:col>44</xdr:col>
      <xdr:colOff>254000</xdr:colOff>
      <xdr:row>8</xdr:row>
      <xdr:rowOff>165100</xdr:rowOff>
    </xdr:to>
    <xdr:pic>
      <xdr:nvPicPr>
        <xdr:cNvPr id="63718" name="Imagen 1">
          <a:extLst>
            <a:ext uri="{FF2B5EF4-FFF2-40B4-BE49-F238E27FC236}">
              <a16:creationId xmlns:a16="http://schemas.microsoft.com/office/drawing/2014/main" id="{29D1ED1A-3419-782E-31F5-65249688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64500" y="431800"/>
          <a:ext cx="1143000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60</xdr:col>
      <xdr:colOff>596900</xdr:colOff>
      <xdr:row>8</xdr:row>
      <xdr:rowOff>127000</xdr:rowOff>
    </xdr:from>
    <xdr:to>
      <xdr:col>61</xdr:col>
      <xdr:colOff>101600</xdr:colOff>
      <xdr:row>10</xdr:row>
      <xdr:rowOff>114300</xdr:rowOff>
    </xdr:to>
    <xdr:pic>
      <xdr:nvPicPr>
        <xdr:cNvPr id="63719" name="Imagen 3">
          <a:extLst>
            <a:ext uri="{FF2B5EF4-FFF2-40B4-BE49-F238E27FC236}">
              <a16:creationId xmlns:a16="http://schemas.microsoft.com/office/drawing/2014/main" id="{F278BBE1-D51E-0AC3-4FA4-58D11013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8400" y="2273300"/>
          <a:ext cx="3302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482600</xdr:colOff>
      <xdr:row>0</xdr:row>
      <xdr:rowOff>152400</xdr:rowOff>
    </xdr:from>
    <xdr:to>
      <xdr:col>10</xdr:col>
      <xdr:colOff>368300</xdr:colOff>
      <xdr:row>9</xdr:row>
      <xdr:rowOff>38100</xdr:rowOff>
    </xdr:to>
    <xdr:pic>
      <xdr:nvPicPr>
        <xdr:cNvPr id="63720" name="Imagen 5">
          <a:extLst>
            <a:ext uri="{FF2B5EF4-FFF2-40B4-BE49-F238E27FC236}">
              <a16:creationId xmlns:a16="http://schemas.microsoft.com/office/drawing/2014/main" id="{EFC79730-D52F-05AD-55C4-9159C1AD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7100" y="152400"/>
          <a:ext cx="901700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584200</xdr:colOff>
      <xdr:row>9</xdr:row>
      <xdr:rowOff>114300</xdr:rowOff>
    </xdr:from>
    <xdr:to>
      <xdr:col>51</xdr:col>
      <xdr:colOff>444500</xdr:colOff>
      <xdr:row>14</xdr:row>
      <xdr:rowOff>152400</xdr:rowOff>
    </xdr:to>
    <xdr:pic>
      <xdr:nvPicPr>
        <xdr:cNvPr id="63721" name="Imagen 7" descr="https://transacciones.porvenir.com.co/Personas/flash_site/minisitio_solicitud_pensional/images/numero_semanas_cotizadas1.jpg">
          <a:extLst>
            <a:ext uri="{FF2B5EF4-FFF2-40B4-BE49-F238E27FC236}">
              <a16:creationId xmlns:a16="http://schemas.microsoft.com/office/drawing/2014/main" id="{C38E63B1-1D94-DB96-5810-61F2F8115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0700" y="2476500"/>
          <a:ext cx="685800" cy="107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973848</xdr:colOff>
      <xdr:row>0</xdr:row>
      <xdr:rowOff>1</xdr:rowOff>
    </xdr:from>
    <xdr:to>
      <xdr:col>10</xdr:col>
      <xdr:colOff>86946</xdr:colOff>
      <xdr:row>10</xdr:row>
      <xdr:rowOff>1955</xdr:rowOff>
    </xdr:to>
    <xdr:pic>
      <xdr:nvPicPr>
        <xdr:cNvPr id="63722" name="Imagen 11">
          <a:extLst>
            <a:ext uri="{FF2B5EF4-FFF2-40B4-BE49-F238E27FC236}">
              <a16:creationId xmlns:a16="http://schemas.microsoft.com/office/drawing/2014/main" id="{762107C6-8C2B-45E3-60F7-12BA4C6F3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694" y="1"/>
          <a:ext cx="1809406" cy="25693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170944</xdr:colOff>
      <xdr:row>0</xdr:row>
      <xdr:rowOff>0</xdr:rowOff>
    </xdr:from>
    <xdr:to>
      <xdr:col>7</xdr:col>
      <xdr:colOff>527539</xdr:colOff>
      <xdr:row>13</xdr:row>
      <xdr:rowOff>2153</xdr:rowOff>
    </xdr:to>
    <xdr:pic>
      <xdr:nvPicPr>
        <xdr:cNvPr id="63723" name="Imagen 18">
          <a:extLst>
            <a:ext uri="{FF2B5EF4-FFF2-40B4-BE49-F238E27FC236}">
              <a16:creationId xmlns:a16="http://schemas.microsoft.com/office/drawing/2014/main" id="{FC75F0DC-84BB-04E5-C750-388C81FE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175" y="0"/>
          <a:ext cx="1509364" cy="32064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459154</xdr:colOff>
      <xdr:row>0</xdr:row>
      <xdr:rowOff>190500</xdr:rowOff>
    </xdr:from>
    <xdr:to>
      <xdr:col>8</xdr:col>
      <xdr:colOff>571500</xdr:colOff>
      <xdr:row>8</xdr:row>
      <xdr:rowOff>139700</xdr:rowOff>
    </xdr:to>
    <xdr:pic>
      <xdr:nvPicPr>
        <xdr:cNvPr id="63724" name="Imagen 19">
          <a:extLst>
            <a:ext uri="{FF2B5EF4-FFF2-40B4-BE49-F238E27FC236}">
              <a16:creationId xmlns:a16="http://schemas.microsoft.com/office/drawing/2014/main" id="{BC11D2DD-6DC7-DA4F-DB0F-A26FC33C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3154" y="190500"/>
          <a:ext cx="1177192" cy="20984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266700</xdr:colOff>
      <xdr:row>1</xdr:row>
      <xdr:rowOff>0</xdr:rowOff>
    </xdr:to>
    <xdr:pic>
      <xdr:nvPicPr>
        <xdr:cNvPr id="63725" name="Imagen 2" descr="MetLife">
          <a:extLst>
            <a:ext uri="{FF2B5EF4-FFF2-40B4-BE49-F238E27FC236}">
              <a16:creationId xmlns:a16="http://schemas.microsoft.com/office/drawing/2014/main" id="{8C3B7415-A8B8-8F20-D88E-1DD3EBE3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0"/>
          <a:ext cx="21463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698500</xdr:colOff>
      <xdr:row>5</xdr:row>
      <xdr:rowOff>50800</xdr:rowOff>
    </xdr:from>
    <xdr:to>
      <xdr:col>5</xdr:col>
      <xdr:colOff>1752600</xdr:colOff>
      <xdr:row>7</xdr:row>
      <xdr:rowOff>165100</xdr:rowOff>
    </xdr:to>
    <xdr:pic>
      <xdr:nvPicPr>
        <xdr:cNvPr id="38862" name="Imagen 1">
          <a:extLst>
            <a:ext uri="{FF2B5EF4-FFF2-40B4-BE49-F238E27FC236}">
              <a16:creationId xmlns:a16="http://schemas.microsoft.com/office/drawing/2014/main" id="{2D08E5BB-1AC8-5B7B-7375-C96AF46B5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8600" y="1358900"/>
          <a:ext cx="10541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88900</xdr:colOff>
      <xdr:row>1</xdr:row>
      <xdr:rowOff>0</xdr:rowOff>
    </xdr:from>
    <xdr:to>
      <xdr:col>5</xdr:col>
      <xdr:colOff>2679700</xdr:colOff>
      <xdr:row>2</xdr:row>
      <xdr:rowOff>203200</xdr:rowOff>
    </xdr:to>
    <xdr:pic>
      <xdr:nvPicPr>
        <xdr:cNvPr id="38863" name="Imagen 2" descr="MetLife">
          <a:extLst>
            <a:ext uri="{FF2B5EF4-FFF2-40B4-BE49-F238E27FC236}">
              <a16:creationId xmlns:a16="http://schemas.microsoft.com/office/drawing/2014/main" id="{E3DC6CF0-CEF1-5B87-BA91-8BEDA55CB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000" y="203200"/>
          <a:ext cx="2590800" cy="54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7DEB-976D-2A4A-B685-62240A3C7DDC}">
  <dimension ref="A1:L49"/>
  <sheetViews>
    <sheetView showGridLines="0" topLeftCell="A4" zoomScale="90" zoomScaleNormal="90" workbookViewId="0">
      <selection activeCell="G11" sqref="G11"/>
    </sheetView>
  </sheetViews>
  <sheetFormatPr baseColWidth="10" defaultRowHeight="15.6"/>
  <cols>
    <col min="2" max="2" width="19.5" customWidth="1"/>
    <col min="3" max="3" width="32" customWidth="1"/>
    <col min="5" max="5" width="3.296875" customWidth="1"/>
    <col min="6" max="6" width="2.69921875" customWidth="1"/>
    <col min="7" max="7" width="24.5" customWidth="1"/>
    <col min="8" max="8" width="4" customWidth="1"/>
    <col min="9" max="9" width="19.796875" customWidth="1"/>
    <col min="10" max="10" width="20.296875" customWidth="1"/>
    <col min="11" max="11" width="18" bestFit="1" customWidth="1"/>
    <col min="12" max="12" width="21.19921875" customWidth="1"/>
    <col min="13" max="15" width="10.796875" customWidth="1"/>
    <col min="42" max="42" width="0" hidden="1" customWidth="1"/>
  </cols>
  <sheetData>
    <row r="1" spans="1:12" ht="76.95" customHeight="1">
      <c r="C1" s="4"/>
    </row>
    <row r="2" spans="1:12" ht="25.05" customHeight="1">
      <c r="B2" s="189" t="s">
        <v>37</v>
      </c>
      <c r="C2" s="190"/>
      <c r="D2" s="190"/>
      <c r="E2" s="2"/>
      <c r="K2" t="s">
        <v>90</v>
      </c>
    </row>
    <row r="3" spans="1:12" ht="22.95" customHeight="1">
      <c r="B3" s="191"/>
      <c r="C3" s="191"/>
      <c r="D3" s="191"/>
    </row>
    <row r="4" spans="1:12">
      <c r="J4" s="202" t="s">
        <v>18</v>
      </c>
      <c r="K4" s="202"/>
      <c r="L4" s="202"/>
    </row>
    <row r="5" spans="1:12" ht="18">
      <c r="B5" s="17" t="s">
        <v>36</v>
      </c>
      <c r="C5" s="204">
        <v>45982</v>
      </c>
      <c r="D5" s="205"/>
      <c r="J5" s="203"/>
      <c r="K5" s="203"/>
      <c r="L5" s="203"/>
    </row>
    <row r="6" spans="1:12" ht="9" customHeight="1">
      <c r="B6" s="18"/>
      <c r="C6" s="19"/>
      <c r="D6" s="11"/>
      <c r="J6" s="10"/>
      <c r="K6" s="10"/>
      <c r="L6" s="10"/>
    </row>
    <row r="7" spans="1:12">
      <c r="B7" s="11"/>
      <c r="C7" s="20" t="s">
        <v>0</v>
      </c>
      <c r="D7" s="21" t="s">
        <v>1</v>
      </c>
      <c r="E7" s="1" t="s">
        <v>10</v>
      </c>
      <c r="G7" s="157" t="s">
        <v>35</v>
      </c>
      <c r="J7" s="6" t="s">
        <v>15</v>
      </c>
      <c r="K7" s="200">
        <f>'EDUCACION HIJOS'!D10+'EDUCACION HIJOS'!D15+'EDUCACION HIJOS'!D20+'EDUCACION HIJOS'!D25+'EDUCACION HIJOS'!D30</f>
        <v>408000000</v>
      </c>
      <c r="L7" s="200"/>
    </row>
    <row r="8" spans="1:12" ht="19.8">
      <c r="B8" s="14" t="s">
        <v>2</v>
      </c>
      <c r="C8" s="158" t="s">
        <v>97</v>
      </c>
      <c r="D8" s="159">
        <v>34</v>
      </c>
      <c r="E8" s="5">
        <v>62</v>
      </c>
      <c r="F8" s="2"/>
      <c r="G8" s="173" t="s">
        <v>96</v>
      </c>
      <c r="J8" s="6" t="s">
        <v>16</v>
      </c>
      <c r="K8" s="200">
        <f>'EDUCACION HIJOS'!G16</f>
        <v>242000000</v>
      </c>
      <c r="L8" s="200"/>
    </row>
    <row r="9" spans="1:12" ht="19.8">
      <c r="B9" s="15" t="s">
        <v>82</v>
      </c>
      <c r="C9" s="160" t="s">
        <v>98</v>
      </c>
      <c r="D9" s="161"/>
      <c r="E9" s="2"/>
      <c r="G9" s="12" t="s">
        <v>11</v>
      </c>
      <c r="J9" s="7" t="s">
        <v>17</v>
      </c>
      <c r="K9" s="201">
        <f>K7+K8</f>
        <v>650000000</v>
      </c>
      <c r="L9" s="201"/>
    </row>
    <row r="10" spans="1:12" ht="19.8">
      <c r="B10" s="15" t="s">
        <v>3</v>
      </c>
      <c r="C10" s="192"/>
      <c r="D10" s="193"/>
      <c r="E10" s="2"/>
      <c r="G10" s="156">
        <v>4000000</v>
      </c>
    </row>
    <row r="11" spans="1:12" ht="24.6">
      <c r="B11" s="15" t="s">
        <v>4</v>
      </c>
      <c r="C11" s="194"/>
      <c r="D11" s="195"/>
      <c r="E11" s="2"/>
      <c r="G11" s="13"/>
      <c r="J11" s="30" t="s">
        <v>78</v>
      </c>
      <c r="K11" s="30"/>
      <c r="L11" s="31" t="s">
        <v>19</v>
      </c>
    </row>
    <row r="12" spans="1:12">
      <c r="B12" s="16" t="s">
        <v>5</v>
      </c>
      <c r="C12" s="196"/>
      <c r="D12" s="197"/>
      <c r="E12" s="2"/>
      <c r="G12" s="12" t="s">
        <v>12</v>
      </c>
      <c r="J12" s="6" t="s">
        <v>20</v>
      </c>
      <c r="K12" s="8">
        <f>'PANORAMA LEY 100'!D24</f>
        <v>557120000</v>
      </c>
      <c r="L12" s="9"/>
    </row>
    <row r="13" spans="1:12" ht="19.8">
      <c r="B13" s="15" t="s">
        <v>6</v>
      </c>
      <c r="C13" s="187"/>
      <c r="D13" s="188"/>
      <c r="E13" s="2"/>
      <c r="G13" s="156"/>
      <c r="J13" s="6" t="s">
        <v>21</v>
      </c>
      <c r="K13" s="8">
        <f>'PANORAMA LEY 100'!D25</f>
        <v>567680000</v>
      </c>
      <c r="L13" s="9"/>
    </row>
    <row r="14" spans="1:12" ht="19.8">
      <c r="B14" s="17" t="s">
        <v>7</v>
      </c>
      <c r="C14" s="162"/>
      <c r="D14" s="172"/>
      <c r="E14" s="92">
        <v>57</v>
      </c>
      <c r="G14" s="11"/>
      <c r="J14" s="6" t="s">
        <v>22</v>
      </c>
      <c r="K14" s="8">
        <f>'PANORAMA LEY 100'!D26</f>
        <v>518400000</v>
      </c>
      <c r="L14" s="9"/>
    </row>
    <row r="15" spans="1:12" ht="19.8">
      <c r="B15" s="15" t="s">
        <v>8</v>
      </c>
      <c r="C15" s="198"/>
      <c r="D15" s="199"/>
      <c r="E15" s="43"/>
      <c r="G15" s="12" t="s">
        <v>13</v>
      </c>
      <c r="J15" s="6" t="s">
        <v>23</v>
      </c>
      <c r="K15" s="8"/>
      <c r="L15" s="9"/>
    </row>
    <row r="16" spans="1:12" ht="19.8">
      <c r="A16" s="3"/>
      <c r="B16" s="15" t="s">
        <v>9</v>
      </c>
      <c r="C16" s="163"/>
      <c r="D16" s="164"/>
      <c r="E16" s="37"/>
      <c r="G16" s="156"/>
      <c r="J16" s="6" t="s">
        <v>24</v>
      </c>
      <c r="K16" s="8">
        <f>'PANORAMA LEY 100'!D27</f>
        <v>549464000</v>
      </c>
      <c r="L16" s="9"/>
    </row>
    <row r="17" spans="2:12" ht="19.8">
      <c r="B17" s="15" t="s">
        <v>9</v>
      </c>
      <c r="C17" s="165"/>
      <c r="D17" s="164"/>
      <c r="G17" s="11"/>
    </row>
    <row r="18" spans="2:12" ht="19.8">
      <c r="B18" s="15" t="s">
        <v>9</v>
      </c>
      <c r="C18" s="163"/>
      <c r="D18" s="164"/>
      <c r="G18" s="12" t="s">
        <v>14</v>
      </c>
    </row>
    <row r="19" spans="2:12" ht="19.8">
      <c r="B19" s="15" t="s">
        <v>9</v>
      </c>
      <c r="C19" s="163"/>
      <c r="D19" s="164"/>
      <c r="G19" s="52">
        <v>3000000</v>
      </c>
    </row>
    <row r="20" spans="2:12">
      <c r="B20" s="15" t="s">
        <v>9</v>
      </c>
      <c r="C20" s="39"/>
      <c r="D20" s="40"/>
      <c r="G20" s="11"/>
    </row>
    <row r="21" spans="2:12">
      <c r="C21" s="38"/>
    </row>
    <row r="27" spans="2:12">
      <c r="I27" s="43"/>
      <c r="J27" s="43"/>
      <c r="K27" s="43"/>
      <c r="L27" s="43"/>
    </row>
    <row r="28" spans="2:12">
      <c r="I28" s="43"/>
      <c r="J28" s="43"/>
      <c r="K28" s="43"/>
      <c r="L28" s="43"/>
    </row>
    <row r="29" spans="2:12" ht="23.4">
      <c r="I29" s="43"/>
      <c r="J29" s="186"/>
      <c r="K29" s="186"/>
      <c r="L29" s="43"/>
    </row>
    <row r="30" spans="2:12" ht="23.4">
      <c r="I30" s="43"/>
      <c r="J30" s="184"/>
      <c r="K30" s="184"/>
      <c r="L30" s="43"/>
    </row>
    <row r="31" spans="2:12" ht="23.4">
      <c r="I31" s="43"/>
      <c r="J31" s="184"/>
      <c r="K31" s="184"/>
      <c r="L31" s="43"/>
    </row>
    <row r="32" spans="2:12" ht="23.4">
      <c r="I32" s="43"/>
      <c r="J32" s="184"/>
      <c r="K32" s="184"/>
      <c r="L32" s="43"/>
    </row>
    <row r="33" spans="9:12" ht="23.4">
      <c r="I33" s="43"/>
      <c r="J33" s="184"/>
      <c r="K33" s="184"/>
      <c r="L33" s="43"/>
    </row>
    <row r="34" spans="9:12">
      <c r="I34" s="43"/>
      <c r="J34" s="43"/>
      <c r="K34" s="43"/>
      <c r="L34" s="43"/>
    </row>
    <row r="35" spans="9:12">
      <c r="I35" s="43"/>
      <c r="J35" s="43"/>
      <c r="K35" s="43"/>
      <c r="L35" s="43"/>
    </row>
    <row r="36" spans="9:12">
      <c r="I36" s="43"/>
      <c r="J36" s="43"/>
      <c r="K36" s="43"/>
      <c r="L36" s="43"/>
    </row>
    <row r="46" spans="9:12" ht="13.95" customHeight="1"/>
    <row r="47" spans="9:12" hidden="1"/>
    <row r="48" spans="9:12" hidden="1"/>
    <row r="49" hidden="1"/>
  </sheetData>
  <mergeCells count="12">
    <mergeCell ref="J29:K29"/>
    <mergeCell ref="C13:D13"/>
    <mergeCell ref="B2:D3"/>
    <mergeCell ref="C10:D10"/>
    <mergeCell ref="C11:D11"/>
    <mergeCell ref="C12:D12"/>
    <mergeCell ref="C15:D15"/>
    <mergeCell ref="K7:L7"/>
    <mergeCell ref="K8:L8"/>
    <mergeCell ref="K9:L9"/>
    <mergeCell ref="J4:L5"/>
    <mergeCell ref="C5:D5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C71B-8552-B648-8427-0251AC30EBF4}">
  <dimension ref="A1:U29"/>
  <sheetViews>
    <sheetView showGridLines="0" zoomScale="80" zoomScaleNormal="80" workbookViewId="0">
      <selection activeCell="I16" sqref="I16"/>
    </sheetView>
  </sheetViews>
  <sheetFormatPr baseColWidth="10" defaultRowHeight="15.6"/>
  <cols>
    <col min="2" max="2" width="28.69921875" customWidth="1"/>
    <col min="3" max="3" width="20.296875" customWidth="1"/>
    <col min="4" max="4" width="4.296875" customWidth="1"/>
    <col min="5" max="5" width="21.796875" style="98" customWidth="1"/>
    <col min="6" max="6" width="18.296875" customWidth="1"/>
    <col min="7" max="7" width="18.5" customWidth="1"/>
    <col min="8" max="8" width="29.296875" bestFit="1" customWidth="1"/>
    <col min="9" max="9" width="9.796875" customWidth="1"/>
    <col min="10" max="10" width="13.796875" bestFit="1" customWidth="1"/>
    <col min="11" max="11" width="10.796875" hidden="1" customWidth="1"/>
    <col min="12" max="12" width="28.69921875" hidden="1" customWidth="1"/>
    <col min="13" max="13" width="16.69921875" hidden="1" customWidth="1"/>
    <col min="14" max="14" width="4.296875" hidden="1" customWidth="1"/>
    <col min="15" max="15" width="21.796875" hidden="1" customWidth="1"/>
    <col min="16" max="16" width="18.296875" hidden="1" customWidth="1"/>
    <col min="17" max="17" width="13.796875" hidden="1" customWidth="1"/>
    <col min="18" max="18" width="0" hidden="1" customWidth="1"/>
    <col min="19" max="19" width="11" hidden="1" customWidth="1"/>
    <col min="20" max="20" width="11.5" bestFit="1" customWidth="1"/>
  </cols>
  <sheetData>
    <row r="1" spans="1:21" ht="45" customHeight="1">
      <c r="G1" s="206"/>
      <c r="H1" s="206"/>
      <c r="I1" s="206"/>
      <c r="J1" s="122"/>
    </row>
    <row r="2" spans="1:21" ht="25.8">
      <c r="B2" s="212" t="s">
        <v>80</v>
      </c>
      <c r="C2" s="212"/>
      <c r="D2" s="212"/>
      <c r="E2" s="99" t="str">
        <f>'DATOS GERERALES'!C8</f>
        <v>CARLOS CERVANTES</v>
      </c>
      <c r="F2" s="93"/>
      <c r="G2" s="85">
        <v>1423500</v>
      </c>
      <c r="L2" s="93" t="s">
        <v>38</v>
      </c>
      <c r="M2" s="93"/>
      <c r="N2" s="93">
        <f>'DATOS GERERALES'!C14</f>
        <v>0</v>
      </c>
      <c r="O2" s="93"/>
      <c r="P2" s="93"/>
      <c r="Q2" s="85">
        <v>1423500</v>
      </c>
    </row>
    <row r="3" spans="1:21">
      <c r="G3" s="85">
        <f>G2-(G2*0.12)</f>
        <v>1252680</v>
      </c>
      <c r="Q3" s="85">
        <f>Q2-(Q2*0.125)</f>
        <v>1245562.5</v>
      </c>
    </row>
    <row r="4" spans="1:21" ht="18">
      <c r="A4" s="153" t="s">
        <v>91</v>
      </c>
      <c r="B4" s="124" t="s">
        <v>39</v>
      </c>
      <c r="C4" s="174" t="s">
        <v>95</v>
      </c>
      <c r="E4" s="211" t="s">
        <v>44</v>
      </c>
      <c r="F4" s="211"/>
      <c r="L4" s="27" t="s">
        <v>39</v>
      </c>
      <c r="M4" s="102"/>
      <c r="O4" s="211" t="s">
        <v>44</v>
      </c>
      <c r="P4" s="211"/>
    </row>
    <row r="5" spans="1:21" ht="16.05" customHeight="1">
      <c r="A5" s="170">
        <v>34</v>
      </c>
      <c r="B5" s="124" t="s">
        <v>40</v>
      </c>
      <c r="C5" s="169">
        <v>5</v>
      </c>
      <c r="E5" s="213">
        <v>0.66</v>
      </c>
      <c r="F5" s="215">
        <f>IF((C9*E5)&gt;G3,(C9*E5)*0.88,G3)</f>
        <v>1161600</v>
      </c>
      <c r="L5" s="27" t="s">
        <v>40</v>
      </c>
      <c r="M5" s="103">
        <v>21</v>
      </c>
      <c r="O5" s="224" t="s">
        <v>81</v>
      </c>
      <c r="P5" s="215" t="e">
        <f>IF((M9*O5)&gt;Q3,(M9*O5)*0.88,Q3)</f>
        <v>#VALUE!</v>
      </c>
    </row>
    <row r="6" spans="1:21">
      <c r="A6" s="170">
        <v>3</v>
      </c>
      <c r="B6" s="124" t="s">
        <v>41</v>
      </c>
      <c r="C6" s="23">
        <v>28</v>
      </c>
      <c r="E6" s="214"/>
      <c r="F6" s="215"/>
      <c r="L6" s="27" t="s">
        <v>41</v>
      </c>
      <c r="O6" s="195"/>
      <c r="P6" s="215"/>
    </row>
    <row r="7" spans="1:21">
      <c r="M7" s="23">
        <f>'DATOS GERERALES'!E14-'DATOS GERERALES'!D14</f>
        <v>57</v>
      </c>
    </row>
    <row r="8" spans="1:21" ht="18">
      <c r="B8" s="27" t="s">
        <v>42</v>
      </c>
      <c r="C8" s="117">
        <v>4000000</v>
      </c>
      <c r="E8" s="211" t="s">
        <v>45</v>
      </c>
      <c r="F8" s="211"/>
      <c r="L8" s="27" t="s">
        <v>42</v>
      </c>
      <c r="M8" s="71">
        <f>'DATOS GERERALES'!Q10</f>
        <v>0</v>
      </c>
      <c r="O8" s="211" t="s">
        <v>45</v>
      </c>
      <c r="P8" s="211"/>
    </row>
    <row r="9" spans="1:21">
      <c r="B9" s="27" t="s">
        <v>43</v>
      </c>
      <c r="C9" s="109">
        <v>2000000</v>
      </c>
      <c r="E9" s="213">
        <v>0.69</v>
      </c>
      <c r="F9" s="215">
        <f>IF((C9*E9)&gt;G3,(C9*E9)*0.88,G3)</f>
        <v>1214400</v>
      </c>
      <c r="L9" s="27" t="s">
        <v>43</v>
      </c>
      <c r="M9" s="104">
        <f>T29</f>
        <v>4892666.666666667</v>
      </c>
      <c r="O9" s="224" t="s">
        <v>81</v>
      </c>
      <c r="P9" s="215" t="e">
        <f>IF((M9*O9)&gt;Q3,(M9*O9)*0.88,Q3)</f>
        <v>#VALUE!</v>
      </c>
    </row>
    <row r="10" spans="1:21">
      <c r="B10" s="27" t="s">
        <v>46</v>
      </c>
      <c r="C10" s="110">
        <v>2000000</v>
      </c>
      <c r="E10" s="214"/>
      <c r="F10" s="215"/>
      <c r="L10" s="27" t="s">
        <v>46</v>
      </c>
      <c r="M10" s="104">
        <v>32500000</v>
      </c>
      <c r="O10" s="195"/>
      <c r="P10" s="215"/>
    </row>
    <row r="11" spans="1:21">
      <c r="B11" s="18"/>
      <c r="C11" s="35"/>
      <c r="L11" s="18"/>
      <c r="M11" s="35"/>
    </row>
    <row r="12" spans="1:21">
      <c r="B12" s="18" t="s">
        <v>83</v>
      </c>
      <c r="C12" s="35"/>
      <c r="L12" s="18"/>
      <c r="M12" s="35"/>
    </row>
    <row r="13" spans="1:21" ht="21">
      <c r="B13" s="207" t="s">
        <v>88</v>
      </c>
      <c r="C13" s="207"/>
      <c r="E13" s="207" t="s">
        <v>89</v>
      </c>
      <c r="F13" s="207"/>
      <c r="H13" s="175" t="s">
        <v>91</v>
      </c>
      <c r="I13" s="176">
        <f>A5</f>
        <v>34</v>
      </c>
      <c r="J13" s="119" t="s">
        <v>81</v>
      </c>
      <c r="L13" s="216" t="s">
        <v>83</v>
      </c>
      <c r="M13" s="216"/>
      <c r="O13" s="216" t="s">
        <v>84</v>
      </c>
      <c r="P13" s="216"/>
    </row>
    <row r="14" spans="1:21" ht="21">
      <c r="B14" s="229" t="s">
        <v>47</v>
      </c>
      <c r="C14" s="229"/>
      <c r="E14" s="211" t="s">
        <v>48</v>
      </c>
      <c r="F14" s="211"/>
      <c r="G14" s="136"/>
      <c r="H14" s="177" t="s">
        <v>92</v>
      </c>
      <c r="I14" s="176">
        <f>C5*G15</f>
        <v>260</v>
      </c>
      <c r="J14" s="139"/>
      <c r="K14" s="136"/>
      <c r="L14" s="233" t="s">
        <v>47</v>
      </c>
      <c r="M14" s="233"/>
      <c r="N14" s="136"/>
      <c r="O14" s="225" t="s">
        <v>48</v>
      </c>
      <c r="P14" s="225"/>
      <c r="Q14" s="136" t="s">
        <v>67</v>
      </c>
      <c r="R14" s="137">
        <v>54</v>
      </c>
      <c r="S14" s="136"/>
      <c r="T14" s="136"/>
      <c r="U14" s="136"/>
    </row>
    <row r="15" spans="1:21" ht="32.4" customHeight="1">
      <c r="B15" s="22" t="s">
        <v>49</v>
      </c>
      <c r="C15" s="70">
        <f>C5+C6</f>
        <v>33</v>
      </c>
      <c r="E15" s="113" t="s">
        <v>53</v>
      </c>
      <c r="F15" s="71">
        <f>377*($G$2)</f>
        <v>536659500</v>
      </c>
      <c r="G15" s="154">
        <v>52</v>
      </c>
      <c r="H15" s="178" t="s">
        <v>65</v>
      </c>
      <c r="I15" s="176">
        <f>C6</f>
        <v>28</v>
      </c>
      <c r="J15" s="140"/>
      <c r="K15" s="136"/>
      <c r="L15" s="141" t="s">
        <v>49</v>
      </c>
      <c r="M15" s="142">
        <f>M5+M7</f>
        <v>78</v>
      </c>
      <c r="N15" s="136"/>
      <c r="O15" s="143" t="s">
        <v>53</v>
      </c>
      <c r="P15" s="144">
        <f>377*($G$2)</f>
        <v>536659500</v>
      </c>
      <c r="Q15" s="136"/>
      <c r="R15" s="137"/>
      <c r="S15" s="136"/>
      <c r="T15" s="136"/>
      <c r="U15" s="136"/>
    </row>
    <row r="16" spans="1:21" ht="21" customHeight="1">
      <c r="B16" s="22" t="s">
        <v>50</v>
      </c>
      <c r="C16" s="70">
        <f>C15*52</f>
        <v>1716</v>
      </c>
      <c r="E16" s="100" t="s">
        <v>54</v>
      </c>
      <c r="F16" s="71">
        <f>((C10*0.115)*12*(C5+C6))</f>
        <v>91080000</v>
      </c>
      <c r="G16" s="136"/>
      <c r="H16" s="178" t="s">
        <v>93</v>
      </c>
      <c r="I16" s="176">
        <f>I15*G15</f>
        <v>1456</v>
      </c>
      <c r="J16" s="139"/>
      <c r="K16" s="136"/>
      <c r="L16" s="141" t="s">
        <v>50</v>
      </c>
      <c r="M16" s="142">
        <f>M15*50</f>
        <v>3900</v>
      </c>
      <c r="N16" s="136"/>
      <c r="O16" s="141" t="s">
        <v>54</v>
      </c>
      <c r="P16" s="144">
        <f>((M10*0.115)*12*(M5+M7))</f>
        <v>3498300000</v>
      </c>
      <c r="Q16" s="136"/>
      <c r="R16" s="137"/>
      <c r="S16" s="136"/>
      <c r="T16" s="136"/>
      <c r="U16" s="136"/>
    </row>
    <row r="17" spans="2:21" ht="18" customHeight="1">
      <c r="B17" s="22" t="s">
        <v>85</v>
      </c>
      <c r="C17" s="105">
        <f>(((C10/$G$2)*0.5)/100)-0.5%</f>
        <v>2.0249385317878468E-3</v>
      </c>
      <c r="E17" s="100" t="s">
        <v>77</v>
      </c>
      <c r="F17" s="72">
        <f>F16/F15</f>
        <v>0.16971655211544751</v>
      </c>
      <c r="G17" s="136"/>
      <c r="H17" s="185" t="s">
        <v>94</v>
      </c>
      <c r="I17" s="185">
        <f>I14+I16</f>
        <v>1716</v>
      </c>
      <c r="J17" s="140"/>
      <c r="K17" s="136"/>
      <c r="L17" s="141" t="s">
        <v>51</v>
      </c>
      <c r="M17" s="145">
        <f>(((M11/$G$2)*0.5)/100)-0.5%</f>
        <v>-5.0000000000000001E-3</v>
      </c>
      <c r="N17" s="136"/>
      <c r="O17" s="141" t="s">
        <v>77</v>
      </c>
      <c r="P17" s="146">
        <f>P16/P15</f>
        <v>6.5186584789796882</v>
      </c>
      <c r="Q17" s="136"/>
      <c r="R17" s="137"/>
      <c r="S17" s="136"/>
      <c r="T17" s="136"/>
      <c r="U17" s="136"/>
    </row>
    <row r="18" spans="2:21" ht="19.05" customHeight="1">
      <c r="B18" s="22" t="s">
        <v>52</v>
      </c>
      <c r="C18" s="179">
        <v>0.8</v>
      </c>
      <c r="F18" s="53">
        <f>((G2*F17*0.88))</f>
        <v>212600.53050397878</v>
      </c>
      <c r="G18" s="136"/>
      <c r="H18" s="137"/>
      <c r="I18" s="138"/>
      <c r="J18" s="139"/>
      <c r="K18" s="136"/>
      <c r="L18" s="141" t="s">
        <v>52</v>
      </c>
      <c r="M18" s="147">
        <v>0.67</v>
      </c>
      <c r="N18" s="136"/>
      <c r="O18" s="136"/>
      <c r="P18" s="148">
        <f>((Q2*P17*0.88))</f>
        <v>8165793.1034482764</v>
      </c>
      <c r="Q18" s="136"/>
      <c r="R18" s="137"/>
      <c r="S18" s="136"/>
      <c r="T18" s="136"/>
      <c r="U18" s="136"/>
    </row>
    <row r="19" spans="2:21" ht="21" customHeight="1">
      <c r="B19" s="29" t="s">
        <v>70</v>
      </c>
      <c r="C19" s="73">
        <f>IF((C10*C18*0.875)&gt;G3,C10*C18*0.88,G3)</f>
        <v>1408000</v>
      </c>
      <c r="E19" s="101" t="s">
        <v>70</v>
      </c>
      <c r="F19" s="73">
        <f>IF(F18&lt;G2,G3,F18)</f>
        <v>1252680</v>
      </c>
      <c r="G19" s="136"/>
      <c r="H19" s="137"/>
      <c r="I19" s="138"/>
      <c r="J19" s="140"/>
      <c r="K19" s="136"/>
      <c r="L19" s="149" t="s">
        <v>70</v>
      </c>
      <c r="M19" s="73">
        <f>IF((M10*M18*0.875)&gt;Q3,M10*M18*0.88,Q3)</f>
        <v>19162000</v>
      </c>
      <c r="N19" s="136"/>
      <c r="O19" s="149" t="s">
        <v>70</v>
      </c>
      <c r="P19" s="73">
        <f>IF(P18&lt;Q2,Q3,P18)</f>
        <v>8165793.1034482764</v>
      </c>
      <c r="Q19" s="136"/>
      <c r="R19" s="137">
        <v>70.5</v>
      </c>
      <c r="S19" s="136"/>
      <c r="T19" s="136"/>
      <c r="U19" s="136"/>
    </row>
    <row r="20" spans="2:21">
      <c r="G20" s="136"/>
      <c r="H20" s="137"/>
      <c r="I20" s="138"/>
      <c r="J20" s="139"/>
      <c r="K20" s="136"/>
      <c r="L20" s="136"/>
      <c r="M20" s="136"/>
      <c r="N20" s="136"/>
      <c r="O20" s="136"/>
      <c r="P20" s="136"/>
      <c r="Q20" s="136"/>
      <c r="R20" s="137"/>
      <c r="S20" s="136"/>
      <c r="T20" s="136"/>
      <c r="U20" s="136"/>
    </row>
    <row r="21" spans="2:21">
      <c r="H21" s="48"/>
      <c r="I21" s="119">
        <v>1650</v>
      </c>
      <c r="J21" s="121">
        <v>0.755</v>
      </c>
      <c r="R21" s="48"/>
    </row>
    <row r="22" spans="2:21" ht="25.95" customHeight="1">
      <c r="B22" s="228" t="s">
        <v>55</v>
      </c>
      <c r="C22" s="218" t="s">
        <v>71</v>
      </c>
      <c r="D22" s="220" t="s">
        <v>56</v>
      </c>
      <c r="E22" s="221"/>
      <c r="F22" s="217" t="s">
        <v>57</v>
      </c>
      <c r="G22" s="217" t="s">
        <v>57</v>
      </c>
      <c r="I22" s="119">
        <v>1700</v>
      </c>
      <c r="J22" s="120">
        <v>0.77</v>
      </c>
      <c r="L22" s="228" t="s">
        <v>55</v>
      </c>
      <c r="M22" s="218" t="s">
        <v>71</v>
      </c>
      <c r="N22" s="220" t="s">
        <v>56</v>
      </c>
      <c r="O22" s="221"/>
      <c r="P22" s="217" t="s">
        <v>57</v>
      </c>
      <c r="Q22" s="217" t="s">
        <v>57</v>
      </c>
    </row>
    <row r="23" spans="2:21" ht="22.05" customHeight="1">
      <c r="B23" s="228"/>
      <c r="C23" s="219"/>
      <c r="D23" s="222"/>
      <c r="E23" s="223"/>
      <c r="F23" s="217"/>
      <c r="G23" s="217"/>
      <c r="I23" s="119">
        <v>1750</v>
      </c>
      <c r="J23" s="121">
        <v>0.78500000000000003</v>
      </c>
      <c r="L23" s="228"/>
      <c r="M23" s="219"/>
      <c r="N23" s="222"/>
      <c r="O23" s="223"/>
      <c r="P23" s="217"/>
      <c r="Q23" s="217"/>
    </row>
    <row r="24" spans="2:21" ht="21">
      <c r="B24" s="46" t="s">
        <v>20</v>
      </c>
      <c r="C24" s="116">
        <f>C8-F9</f>
        <v>2785600</v>
      </c>
      <c r="D24" s="208">
        <f>C24*200</f>
        <v>557120000</v>
      </c>
      <c r="E24" s="209"/>
      <c r="F24" s="54">
        <v>5.0000000000000001E-3</v>
      </c>
      <c r="G24" s="88">
        <f>D24*F24</f>
        <v>2785600</v>
      </c>
      <c r="I24" s="119">
        <v>1800</v>
      </c>
      <c r="J24" s="120">
        <v>0.8</v>
      </c>
      <c r="L24" s="46" t="s">
        <v>20</v>
      </c>
      <c r="M24" s="56" t="e">
        <f>M8-P9</f>
        <v>#VALUE!</v>
      </c>
      <c r="N24" s="208">
        <f>'EDUCACION HIJOS'!Q13</f>
        <v>0</v>
      </c>
      <c r="O24" s="230"/>
      <c r="P24" s="54">
        <v>5.0000000000000001E-3</v>
      </c>
      <c r="Q24" s="55">
        <f>N24*P24</f>
        <v>0</v>
      </c>
    </row>
    <row r="25" spans="2:21" ht="21">
      <c r="B25" s="46" t="s">
        <v>21</v>
      </c>
      <c r="C25" s="116">
        <f>C8-F5</f>
        <v>2838400</v>
      </c>
      <c r="D25" s="208">
        <f>C25*200</f>
        <v>567680000</v>
      </c>
      <c r="E25" s="209"/>
      <c r="F25" s="54">
        <v>5.0000000000000001E-3</v>
      </c>
      <c r="G25" s="88">
        <f>D25*F25</f>
        <v>2838400</v>
      </c>
      <c r="L25" s="46" t="s">
        <v>21</v>
      </c>
      <c r="M25" s="56" t="e">
        <f>M8-P5</f>
        <v>#VALUE!</v>
      </c>
      <c r="N25" s="208" t="e">
        <f>M25*200</f>
        <v>#VALUE!</v>
      </c>
      <c r="O25" s="209"/>
      <c r="P25" s="54">
        <v>5.0000000000000001E-3</v>
      </c>
      <c r="Q25" s="55" t="e">
        <f>N25*P25</f>
        <v>#VALUE!</v>
      </c>
    </row>
    <row r="26" spans="2:21" ht="21">
      <c r="B26" s="46" t="s">
        <v>68</v>
      </c>
      <c r="C26" s="116">
        <f>C8-C19</f>
        <v>2592000</v>
      </c>
      <c r="D26" s="210">
        <f>(C26*200)</f>
        <v>518400000</v>
      </c>
      <c r="E26" s="209"/>
      <c r="F26" s="54">
        <v>5.0000000000000001E-3</v>
      </c>
      <c r="G26" s="88">
        <f>D26*F26</f>
        <v>2592000</v>
      </c>
      <c r="I26" s="127">
        <v>2014</v>
      </c>
      <c r="J26" s="127">
        <v>2163000</v>
      </c>
      <c r="K26" s="127"/>
      <c r="L26" s="128" t="s">
        <v>68</v>
      </c>
      <c r="M26" s="129">
        <f>M8-M19</f>
        <v>-19162000</v>
      </c>
      <c r="N26" s="231">
        <f>M26*200</f>
        <v>-3832400000</v>
      </c>
      <c r="O26" s="232"/>
      <c r="P26" s="130">
        <v>5.0000000000000001E-3</v>
      </c>
      <c r="Q26" s="131">
        <f>N26*P26</f>
        <v>-19162000</v>
      </c>
      <c r="R26" s="127"/>
      <c r="S26" s="132">
        <v>2014</v>
      </c>
      <c r="T26" s="132">
        <v>2163000</v>
      </c>
    </row>
    <row r="27" spans="2:21" ht="27" customHeight="1">
      <c r="B27" s="46" t="s">
        <v>69</v>
      </c>
      <c r="C27" s="116">
        <f>C8-F19</f>
        <v>2747320</v>
      </c>
      <c r="D27" s="210">
        <f>(C27*200)</f>
        <v>549464000</v>
      </c>
      <c r="E27" s="209"/>
      <c r="F27" s="54">
        <v>5.0000000000000001E-3</v>
      </c>
      <c r="G27" s="88">
        <f>D27*F27</f>
        <v>2747320</v>
      </c>
      <c r="I27" s="127">
        <v>2019</v>
      </c>
      <c r="J27" s="127">
        <v>8500000</v>
      </c>
      <c r="K27" s="127"/>
      <c r="L27" s="128" t="s">
        <v>69</v>
      </c>
      <c r="M27" s="129">
        <f>M8-P19</f>
        <v>-8165793.1034482764</v>
      </c>
      <c r="N27" s="231">
        <f>M27*200</f>
        <v>-1633158620.6896553</v>
      </c>
      <c r="O27" s="232"/>
      <c r="P27" s="130">
        <v>5.0000000000000001E-3</v>
      </c>
      <c r="Q27" s="131">
        <f>N27*P27</f>
        <v>-8165793.1034482764</v>
      </c>
      <c r="R27" s="127"/>
      <c r="S27" s="132">
        <v>2019</v>
      </c>
      <c r="T27" s="132">
        <v>8500000</v>
      </c>
    </row>
    <row r="28" spans="2:21" ht="25.05" hidden="1" customHeight="1">
      <c r="B28" s="46" t="s">
        <v>74</v>
      </c>
      <c r="C28" s="87">
        <f>'EDUCACION HIJOS'!G16</f>
        <v>242000000</v>
      </c>
      <c r="D28" s="234">
        <f>'EDUCACION HIJOS'!G16</f>
        <v>242000000</v>
      </c>
      <c r="E28" s="235"/>
      <c r="F28" s="54"/>
      <c r="G28" s="88"/>
      <c r="I28" s="127">
        <v>2024</v>
      </c>
      <c r="J28" s="127">
        <v>4015000</v>
      </c>
      <c r="K28" s="127"/>
      <c r="L28" s="128" t="s">
        <v>74</v>
      </c>
      <c r="M28" s="133">
        <f>'EDUCACION HIJOS'!Q16</f>
        <v>0</v>
      </c>
      <c r="N28" s="226">
        <f>'EDUCACION HIJOS'!Q16</f>
        <v>0</v>
      </c>
      <c r="O28" s="227"/>
      <c r="P28" s="130">
        <v>5.0000000000000001E-3</v>
      </c>
      <c r="Q28" s="131">
        <f>N28*P28</f>
        <v>0</v>
      </c>
      <c r="R28" s="127"/>
      <c r="S28" s="132">
        <v>2024</v>
      </c>
      <c r="T28" s="132">
        <v>4015000</v>
      </c>
    </row>
    <row r="29" spans="2:21">
      <c r="I29" s="127"/>
      <c r="J29" s="134">
        <f>AVERAGE(J26:J28)</f>
        <v>4892666.666666667</v>
      </c>
      <c r="K29" s="127"/>
      <c r="L29" s="127"/>
      <c r="M29" s="127"/>
      <c r="N29" s="127"/>
      <c r="O29" s="127"/>
      <c r="P29" s="127"/>
      <c r="Q29" s="127"/>
      <c r="R29" s="127"/>
      <c r="S29" s="132"/>
      <c r="T29" s="135">
        <f>AVERAGE(T26:T28)</f>
        <v>4892666.666666667</v>
      </c>
    </row>
  </sheetData>
  <mergeCells count="42">
    <mergeCell ref="N28:O28"/>
    <mergeCell ref="L22:L23"/>
    <mergeCell ref="M22:M23"/>
    <mergeCell ref="N22:O23"/>
    <mergeCell ref="B14:C14"/>
    <mergeCell ref="E14:F14"/>
    <mergeCell ref="N24:O24"/>
    <mergeCell ref="N25:O25"/>
    <mergeCell ref="N26:O26"/>
    <mergeCell ref="N27:O27"/>
    <mergeCell ref="L14:M14"/>
    <mergeCell ref="B22:B23"/>
    <mergeCell ref="D28:E28"/>
    <mergeCell ref="D27:E27"/>
    <mergeCell ref="O4:P4"/>
    <mergeCell ref="O5:O6"/>
    <mergeCell ref="P5:P6"/>
    <mergeCell ref="P22:P23"/>
    <mergeCell ref="Q22:Q23"/>
    <mergeCell ref="O8:P8"/>
    <mergeCell ref="O9:O10"/>
    <mergeCell ref="P9:P10"/>
    <mergeCell ref="O14:P14"/>
    <mergeCell ref="O13:P13"/>
    <mergeCell ref="L13:M13"/>
    <mergeCell ref="G22:G23"/>
    <mergeCell ref="F22:F23"/>
    <mergeCell ref="C22:C23"/>
    <mergeCell ref="D24:E24"/>
    <mergeCell ref="D22:E23"/>
    <mergeCell ref="G1:I1"/>
    <mergeCell ref="B13:C13"/>
    <mergeCell ref="E13:F13"/>
    <mergeCell ref="D25:E25"/>
    <mergeCell ref="D26:E26"/>
    <mergeCell ref="E4:F4"/>
    <mergeCell ref="B2:D2"/>
    <mergeCell ref="E8:F8"/>
    <mergeCell ref="E5:E6"/>
    <mergeCell ref="F5:F6"/>
    <mergeCell ref="E9:E10"/>
    <mergeCell ref="F9:F10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4087-5169-0846-A03A-FDC6295E3F7B}">
  <dimension ref="A1:R62"/>
  <sheetViews>
    <sheetView showGridLines="0" tabSelected="1" topLeftCell="A7" zoomScale="90" zoomScaleNormal="90" workbookViewId="0">
      <selection activeCell="G27" sqref="G27"/>
    </sheetView>
  </sheetViews>
  <sheetFormatPr baseColWidth="10" defaultRowHeight="15.6"/>
  <cols>
    <col min="2" max="2" width="28.69921875" customWidth="1"/>
    <col min="3" max="3" width="17.5" customWidth="1"/>
    <col min="4" max="4" width="7.19921875" customWidth="1"/>
    <col min="5" max="5" width="22.19921875" customWidth="1"/>
    <col min="6" max="6" width="18.296875" customWidth="1"/>
    <col min="7" max="7" width="15.19921875" customWidth="1"/>
    <col min="8" max="8" width="14" customWidth="1"/>
    <col min="9" max="9" width="22" bestFit="1" customWidth="1"/>
    <col min="10" max="10" width="13.296875" bestFit="1" customWidth="1"/>
    <col min="12" max="12" width="29.5" hidden="1" customWidth="1"/>
    <col min="13" max="13" width="20.5" hidden="1" customWidth="1"/>
    <col min="14" max="14" width="5.796875" hidden="1" customWidth="1"/>
    <col min="15" max="15" width="21.5" hidden="1" customWidth="1"/>
    <col min="16" max="16" width="17.69921875" hidden="1" customWidth="1"/>
    <col min="17" max="17" width="18.5" hidden="1" customWidth="1"/>
    <col min="18" max="19" width="0" hidden="1" customWidth="1"/>
  </cols>
  <sheetData>
    <row r="1" spans="1:18" ht="34.950000000000003" customHeight="1"/>
    <row r="2" spans="1:18" ht="28.05" customHeight="1">
      <c r="B2" s="212" t="s">
        <v>38</v>
      </c>
      <c r="C2" s="212"/>
      <c r="D2" s="93" t="str">
        <f>'DATOS GERERALES'!C8</f>
        <v>CARLOS CERVANTES</v>
      </c>
      <c r="E2" s="93"/>
      <c r="F2" s="93"/>
      <c r="G2" s="85">
        <v>1423500</v>
      </c>
      <c r="L2" s="93" t="s">
        <v>38</v>
      </c>
      <c r="M2" s="93"/>
      <c r="N2" s="93">
        <f>'DATOS GERERALES'!C14</f>
        <v>0</v>
      </c>
      <c r="O2" s="93"/>
      <c r="P2" s="93"/>
      <c r="Q2">
        <v>1423500</v>
      </c>
    </row>
    <row r="3" spans="1:18" ht="16.2" thickBot="1">
      <c r="G3" s="85">
        <f>G2-(G2*0.125)</f>
        <v>1245562.5</v>
      </c>
      <c r="Q3">
        <f>Q2-(Q2*0.125)</f>
        <v>1245562.5</v>
      </c>
    </row>
    <row r="4" spans="1:18" ht="18">
      <c r="A4" s="126" t="s">
        <v>91</v>
      </c>
      <c r="B4" s="123" t="s">
        <v>39</v>
      </c>
      <c r="C4" s="106"/>
      <c r="E4" s="258" t="s">
        <v>44</v>
      </c>
      <c r="F4" s="259"/>
      <c r="G4" s="85"/>
      <c r="L4" s="59" t="s">
        <v>39</v>
      </c>
      <c r="M4" s="106"/>
      <c r="O4" s="258" t="s">
        <v>44</v>
      </c>
      <c r="P4" s="259"/>
    </row>
    <row r="5" spans="1:18" ht="16.05" customHeight="1">
      <c r="A5" s="126">
        <f>'PANORAMA LEY 100'!A5</f>
        <v>34</v>
      </c>
      <c r="B5" s="124" t="s">
        <v>40</v>
      </c>
      <c r="C5" s="180"/>
      <c r="D5" s="271">
        <v>52</v>
      </c>
      <c r="E5" s="260"/>
      <c r="F5" s="267">
        <f>IF((C9*E5)&gt;G3,(C9*E5)*0.88,G3)</f>
        <v>1245562.5</v>
      </c>
      <c r="L5" s="60" t="s">
        <v>40</v>
      </c>
      <c r="M5" s="107"/>
      <c r="O5" s="260" t="s">
        <v>81</v>
      </c>
      <c r="P5" s="262" t="e">
        <f>IF((M9*O5)&gt;Q3,M9*O5,Q3)</f>
        <v>#VALUE!</v>
      </c>
    </row>
    <row r="6" spans="1:18" ht="16.2" thickBot="1">
      <c r="A6" s="126">
        <v>62</v>
      </c>
      <c r="B6" s="125" t="s">
        <v>41</v>
      </c>
      <c r="C6" s="68">
        <v>28</v>
      </c>
      <c r="E6" s="266"/>
      <c r="F6" s="268"/>
      <c r="L6" s="61" t="s">
        <v>41</v>
      </c>
      <c r="M6" s="68">
        <f>'DATOS GERERALES'!E14-'DATOS GERERALES'!D14</f>
        <v>57</v>
      </c>
      <c r="O6" s="261"/>
      <c r="P6" s="263"/>
    </row>
    <row r="7" spans="1:18" ht="16.2" thickBot="1"/>
    <row r="8" spans="1:18" ht="18.600000000000001" thickBot="1">
      <c r="B8" s="59" t="s">
        <v>42</v>
      </c>
      <c r="C8" s="74"/>
      <c r="E8" s="258" t="s">
        <v>45</v>
      </c>
      <c r="F8" s="259"/>
      <c r="L8" s="59" t="s">
        <v>42</v>
      </c>
      <c r="M8" s="74">
        <f>'DATOS GERERALES'!Q10</f>
        <v>0</v>
      </c>
      <c r="O8" s="258" t="s">
        <v>45</v>
      </c>
      <c r="P8" s="259"/>
    </row>
    <row r="9" spans="1:18" ht="16.2" thickBot="1">
      <c r="B9" s="60" t="s">
        <v>43</v>
      </c>
      <c r="C9" s="74"/>
      <c r="E9" s="264"/>
      <c r="F9" s="256">
        <f>IF((C9*E9)&gt;G3,(C9*E9)*0.88,G3)</f>
        <v>1245562.5</v>
      </c>
      <c r="L9" s="60" t="s">
        <v>43</v>
      </c>
      <c r="M9" s="108"/>
      <c r="O9" s="260" t="s">
        <v>81</v>
      </c>
      <c r="P9" s="262" t="e">
        <f>IF((M9*O9)&gt;Q3,M9*O9,Q3)</f>
        <v>#VALUE!</v>
      </c>
    </row>
    <row r="10" spans="1:18" ht="16.2" thickBot="1">
      <c r="B10" s="60" t="s">
        <v>46</v>
      </c>
      <c r="C10" s="74"/>
      <c r="E10" s="265"/>
      <c r="F10" s="257"/>
      <c r="L10" s="60" t="s">
        <v>46</v>
      </c>
      <c r="M10" s="108"/>
      <c r="O10" s="261"/>
      <c r="P10" s="263"/>
    </row>
    <row r="11" spans="1:18">
      <c r="B11" s="62" t="s">
        <v>72</v>
      </c>
      <c r="C11" s="183">
        <f>1423500*2.3</f>
        <v>3274049.9999999995</v>
      </c>
      <c r="E11" s="98"/>
      <c r="L11" s="62" t="s">
        <v>72</v>
      </c>
      <c r="M11" s="76">
        <f>IF(M10&gt;(2.3*Q2),2.3*Q2,M10)</f>
        <v>0</v>
      </c>
    </row>
    <row r="12" spans="1:18" ht="16.2" thickBot="1">
      <c r="B12" s="63" t="s">
        <v>73</v>
      </c>
      <c r="C12" s="77">
        <f>C10-C11</f>
        <v>-3274049.9999999995</v>
      </c>
      <c r="D12" s="91"/>
      <c r="I12" s="181" t="s">
        <v>91</v>
      </c>
      <c r="J12" s="170">
        <f>A5</f>
        <v>34</v>
      </c>
      <c r="L12" s="63" t="s">
        <v>73</v>
      </c>
      <c r="M12" s="77">
        <f>M10-M11</f>
        <v>0</v>
      </c>
    </row>
    <row r="13" spans="1:18">
      <c r="B13" s="18"/>
      <c r="C13" s="114"/>
      <c r="L13" s="18"/>
      <c r="M13" s="114"/>
    </row>
    <row r="14" spans="1:18">
      <c r="B14" s="207" t="s">
        <v>87</v>
      </c>
      <c r="C14" s="207"/>
      <c r="E14" s="207" t="s">
        <v>86</v>
      </c>
      <c r="F14" s="207"/>
      <c r="I14" s="182" t="s">
        <v>92</v>
      </c>
      <c r="J14" s="170">
        <v>260</v>
      </c>
      <c r="L14" s="216" t="s">
        <v>83</v>
      </c>
      <c r="M14" s="216"/>
      <c r="O14" s="216" t="s">
        <v>84</v>
      </c>
      <c r="P14" s="216"/>
    </row>
    <row r="15" spans="1:18" ht="18">
      <c r="B15" s="248" t="s">
        <v>47</v>
      </c>
      <c r="C15" s="249"/>
      <c r="E15" s="250" t="s">
        <v>48</v>
      </c>
      <c r="F15" s="251"/>
      <c r="H15" s="48">
        <v>54</v>
      </c>
      <c r="I15" s="150" t="s">
        <v>65</v>
      </c>
      <c r="J15" s="151">
        <f>C6</f>
        <v>28</v>
      </c>
      <c r="L15" s="248" t="s">
        <v>47</v>
      </c>
      <c r="M15" s="249"/>
      <c r="O15" s="250" t="s">
        <v>48</v>
      </c>
      <c r="P15" s="251"/>
      <c r="Q15" t="s">
        <v>67</v>
      </c>
      <c r="R15" s="48">
        <v>54</v>
      </c>
    </row>
    <row r="16" spans="1:18" ht="31.2">
      <c r="B16" s="64" t="s">
        <v>49</v>
      </c>
      <c r="C16" s="78">
        <f>C5+C6</f>
        <v>28</v>
      </c>
      <c r="E16" s="66" t="s">
        <v>53</v>
      </c>
      <c r="F16" s="111">
        <f>377*($G$2)</f>
        <v>536659500</v>
      </c>
      <c r="G16" s="115"/>
      <c r="H16" s="115"/>
      <c r="I16" s="150" t="s">
        <v>93</v>
      </c>
      <c r="J16" s="151">
        <f>C6*D5</f>
        <v>1456</v>
      </c>
      <c r="K16" s="75"/>
      <c r="L16" s="64" t="s">
        <v>49</v>
      </c>
      <c r="M16" s="78">
        <f>M5+M6</f>
        <v>57</v>
      </c>
      <c r="N16" s="75"/>
      <c r="O16" s="66" t="s">
        <v>53</v>
      </c>
      <c r="P16" s="75">
        <f>377*($G$2)</f>
        <v>536659500</v>
      </c>
      <c r="R16" s="48"/>
    </row>
    <row r="17" spans="2:18">
      <c r="B17" s="64" t="s">
        <v>50</v>
      </c>
      <c r="C17" s="78">
        <f>C16*52</f>
        <v>1456</v>
      </c>
      <c r="E17" s="64" t="s">
        <v>54</v>
      </c>
      <c r="F17" s="75">
        <f>((C10*0.115)*12*(C5+C6))</f>
        <v>0</v>
      </c>
      <c r="H17" s="48"/>
      <c r="I17" s="152" t="s">
        <v>94</v>
      </c>
      <c r="J17" s="152">
        <f>J14+J16</f>
        <v>1716</v>
      </c>
      <c r="L17" s="64" t="s">
        <v>50</v>
      </c>
      <c r="M17" s="78">
        <f>M16*52</f>
        <v>2964</v>
      </c>
      <c r="O17" s="64" t="s">
        <v>54</v>
      </c>
      <c r="P17" s="75">
        <f>((M10*0.115)*12*(M5+M6))</f>
        <v>0</v>
      </c>
      <c r="R17" s="48"/>
    </row>
    <row r="18" spans="2:18">
      <c r="B18" s="64" t="s">
        <v>51</v>
      </c>
      <c r="C18" s="84">
        <f>(((C11/$G$2)*0.5)/100)-0.5%</f>
        <v>6.4999999999999997E-3</v>
      </c>
      <c r="E18" s="82" t="s">
        <v>77</v>
      </c>
      <c r="F18" s="83">
        <f>F17/F16</f>
        <v>0</v>
      </c>
      <c r="H18" s="48"/>
      <c r="I18" s="43"/>
      <c r="J18" s="155"/>
      <c r="L18" s="64" t="s">
        <v>51</v>
      </c>
      <c r="M18" s="84">
        <f>(((M11/$G$2)*0.5)/100)-0.5%</f>
        <v>-5.0000000000000001E-3</v>
      </c>
      <c r="O18" s="82" t="s">
        <v>77</v>
      </c>
      <c r="P18" s="83">
        <f>P17/P16</f>
        <v>0</v>
      </c>
      <c r="R18" s="48"/>
    </row>
    <row r="19" spans="2:18">
      <c r="B19" s="64" t="s">
        <v>52</v>
      </c>
      <c r="C19" s="171">
        <v>0.71</v>
      </c>
      <c r="E19" s="67"/>
      <c r="F19" s="81">
        <f>((G2*F18*0.88))</f>
        <v>0</v>
      </c>
      <c r="H19" s="48"/>
      <c r="I19" s="43"/>
      <c r="J19" s="155"/>
      <c r="L19" s="64" t="s">
        <v>52</v>
      </c>
      <c r="M19" s="79">
        <v>0.68</v>
      </c>
      <c r="O19" s="67"/>
      <c r="P19" s="81">
        <f>((Q2*P18*0.88))</f>
        <v>0</v>
      </c>
      <c r="R19" s="48"/>
    </row>
    <row r="20" spans="2:18" ht="16.2" thickBot="1">
      <c r="B20" s="65" t="s">
        <v>70</v>
      </c>
      <c r="C20" s="80">
        <f>IF((C11*C19*0.88)&gt;G3,C11*C19*0.88,G3)</f>
        <v>2045626.4399999997</v>
      </c>
      <c r="E20" s="65" t="s">
        <v>70</v>
      </c>
      <c r="F20" s="80">
        <f>(1.1*G2*F17/F16)*0.88</f>
        <v>0</v>
      </c>
      <c r="H20" s="48"/>
      <c r="I20" s="119">
        <v>1600</v>
      </c>
      <c r="J20" s="120">
        <v>0.74</v>
      </c>
      <c r="L20" s="65" t="s">
        <v>70</v>
      </c>
      <c r="M20" s="80">
        <f>IF((M11*M19*0.88)&gt;Q3,M11*M19*0.88,Q3)</f>
        <v>1245562.5</v>
      </c>
      <c r="O20" s="65" t="s">
        <v>70</v>
      </c>
      <c r="P20" s="80">
        <f>1.1*Q2*P17/P16</f>
        <v>0</v>
      </c>
      <c r="R20" s="48"/>
    </row>
    <row r="21" spans="2:18" ht="16.2" thickBot="1">
      <c r="H21" s="48"/>
      <c r="I21" s="119">
        <v>1650</v>
      </c>
      <c r="J21" s="121">
        <v>0.755</v>
      </c>
      <c r="R21" s="48"/>
    </row>
    <row r="22" spans="2:18" ht="21.6" thickBot="1">
      <c r="B22" s="252" t="s">
        <v>75</v>
      </c>
      <c r="C22" s="253"/>
      <c r="D22" s="253"/>
      <c r="E22" s="254">
        <f>(C20+F20)</f>
        <v>2045626.4399999997</v>
      </c>
      <c r="F22" s="255"/>
      <c r="H22" s="48">
        <v>70.5</v>
      </c>
      <c r="I22" s="119">
        <v>1700</v>
      </c>
      <c r="J22" s="120">
        <v>0.77</v>
      </c>
      <c r="L22" s="252" t="s">
        <v>75</v>
      </c>
      <c r="M22" s="253"/>
      <c r="N22" s="253"/>
      <c r="O22" s="254">
        <f>(M20+P20)*0.875</f>
        <v>1089867.1875</v>
      </c>
      <c r="P22" s="255"/>
      <c r="R22" s="48">
        <v>70.5</v>
      </c>
    </row>
    <row r="23" spans="2:18">
      <c r="H23" s="48"/>
      <c r="I23" s="119">
        <v>1750</v>
      </c>
      <c r="J23" s="121">
        <v>0.78500000000000003</v>
      </c>
      <c r="R23" s="48"/>
    </row>
    <row r="24" spans="2:18" ht="16.2" thickBot="1">
      <c r="H24" s="48"/>
      <c r="I24" s="119">
        <v>1800</v>
      </c>
      <c r="J24" s="120">
        <v>0.8</v>
      </c>
      <c r="R24" s="48"/>
    </row>
    <row r="25" spans="2:18" ht="25.95" customHeight="1">
      <c r="B25" s="241" t="s">
        <v>55</v>
      </c>
      <c r="C25" s="243" t="s">
        <v>71</v>
      </c>
      <c r="D25" s="244" t="s">
        <v>56</v>
      </c>
      <c r="E25" s="245"/>
      <c r="F25" s="246" t="s">
        <v>57</v>
      </c>
      <c r="G25" s="237" t="s">
        <v>57</v>
      </c>
      <c r="I25" s="28"/>
      <c r="L25" s="241" t="s">
        <v>55</v>
      </c>
      <c r="M25" s="243" t="s">
        <v>71</v>
      </c>
      <c r="N25" s="244" t="s">
        <v>56</v>
      </c>
      <c r="O25" s="245"/>
      <c r="P25" s="246" t="s">
        <v>57</v>
      </c>
      <c r="Q25" s="237" t="s">
        <v>57</v>
      </c>
    </row>
    <row r="26" spans="2:18" ht="22.95" customHeight="1">
      <c r="B26" s="242"/>
      <c r="C26" s="219"/>
      <c r="D26" s="222"/>
      <c r="E26" s="223"/>
      <c r="F26" s="217"/>
      <c r="G26" s="238"/>
      <c r="L26" s="242"/>
      <c r="M26" s="219"/>
      <c r="N26" s="222"/>
      <c r="O26" s="223"/>
      <c r="P26" s="217"/>
      <c r="Q26" s="238"/>
    </row>
    <row r="27" spans="2:18" ht="21">
      <c r="B27" s="57" t="s">
        <v>20</v>
      </c>
      <c r="C27" s="56">
        <f>C8-F9</f>
        <v>-1245562.5</v>
      </c>
      <c r="D27" s="239">
        <f>C27*200</f>
        <v>-249112500</v>
      </c>
      <c r="E27" s="240"/>
      <c r="F27" s="86">
        <v>5.0000000000000001E-3</v>
      </c>
      <c r="G27" s="90">
        <f>D27*F27</f>
        <v>-1245562.5</v>
      </c>
      <c r="L27" s="57" t="s">
        <v>20</v>
      </c>
      <c r="M27" s="56" t="e">
        <f>M10-P9</f>
        <v>#VALUE!</v>
      </c>
      <c r="N27" s="239">
        <f>'EDUCACION HIJOS'!Q13</f>
        <v>0</v>
      </c>
      <c r="O27" s="240"/>
      <c r="P27" s="86">
        <v>5.0000000000000001E-3</v>
      </c>
      <c r="Q27" s="58">
        <f>N27*P27</f>
        <v>0</v>
      </c>
    </row>
    <row r="28" spans="2:18" ht="21">
      <c r="B28" s="57" t="s">
        <v>21</v>
      </c>
      <c r="C28" s="56">
        <f>C8-F5</f>
        <v>-1245562.5</v>
      </c>
      <c r="D28" s="239">
        <f>C28*200</f>
        <v>-249112500</v>
      </c>
      <c r="E28" s="240"/>
      <c r="F28" s="86">
        <v>5.0000000000000001E-3</v>
      </c>
      <c r="G28" s="90">
        <f>D28*F28</f>
        <v>-1245562.5</v>
      </c>
      <c r="L28" s="57" t="s">
        <v>21</v>
      </c>
      <c r="M28" s="56" t="e">
        <f>M10-P5</f>
        <v>#VALUE!</v>
      </c>
      <c r="N28" s="239" t="e">
        <f>M28*200</f>
        <v>#VALUE!</v>
      </c>
      <c r="O28" s="240"/>
      <c r="P28" s="86">
        <v>5.0000000000000001E-3</v>
      </c>
      <c r="Q28" s="58" t="e">
        <f>N28*P28</f>
        <v>#VALUE!</v>
      </c>
    </row>
    <row r="29" spans="2:18" ht="21">
      <c r="B29" s="57" t="s">
        <v>79</v>
      </c>
      <c r="C29" s="56">
        <f>C8-E22</f>
        <v>-2045626.4399999997</v>
      </c>
      <c r="D29" s="239">
        <f>D28/2.5</f>
        <v>-99645000</v>
      </c>
      <c r="E29" s="240"/>
      <c r="F29" s="86">
        <v>5.0000000000000001E-3</v>
      </c>
      <c r="G29" s="90">
        <f>D29*F29</f>
        <v>-498225</v>
      </c>
      <c r="L29" s="57" t="s">
        <v>79</v>
      </c>
      <c r="M29" s="56">
        <f>M10-O22</f>
        <v>-1089867.1875</v>
      </c>
      <c r="N29" s="239">
        <f>M29*200</f>
        <v>-217973437.5</v>
      </c>
      <c r="O29" s="240"/>
      <c r="P29" s="86">
        <v>5.0000000000000001E-3</v>
      </c>
      <c r="Q29" s="58">
        <f>N29*P29</f>
        <v>-1089867.1875</v>
      </c>
    </row>
    <row r="31" spans="2:18" ht="21" hidden="1">
      <c r="B31" s="46" t="s">
        <v>74</v>
      </c>
      <c r="C31" s="87"/>
      <c r="D31" s="234">
        <f>'EDUCACION HIJOS'!G16</f>
        <v>242000000</v>
      </c>
      <c r="E31" s="235"/>
    </row>
    <row r="38" spans="2:15" hidden="1"/>
    <row r="39" spans="2:15" hidden="1"/>
    <row r="40" spans="2:15" hidden="1"/>
    <row r="41" spans="2:15" hidden="1">
      <c r="B41" s="22" t="s">
        <v>58</v>
      </c>
      <c r="C41" s="22" t="s">
        <v>59</v>
      </c>
      <c r="D41" s="22"/>
      <c r="E41" s="22"/>
      <c r="L41" s="22" t="s">
        <v>58</v>
      </c>
      <c r="M41" s="22" t="s">
        <v>59</v>
      </c>
      <c r="N41" s="22"/>
      <c r="O41" s="22"/>
    </row>
    <row r="42" spans="2:15" hidden="1">
      <c r="B42" s="247">
        <v>1423500</v>
      </c>
      <c r="C42" s="22" t="s">
        <v>60</v>
      </c>
      <c r="D42" s="47">
        <v>0.125</v>
      </c>
      <c r="E42" s="89">
        <f>D42*B42</f>
        <v>177937.5</v>
      </c>
      <c r="L42" s="236"/>
      <c r="M42" s="22" t="s">
        <v>60</v>
      </c>
      <c r="N42" s="47">
        <v>0.125</v>
      </c>
      <c r="O42" s="22">
        <f>L42*N42</f>
        <v>0</v>
      </c>
    </row>
    <row r="43" spans="2:15" hidden="1">
      <c r="B43" s="247"/>
      <c r="C43" s="33" t="s">
        <v>61</v>
      </c>
      <c r="D43" s="118">
        <v>0.16</v>
      </c>
      <c r="E43" s="95">
        <f>D43*B42</f>
        <v>227760</v>
      </c>
      <c r="L43" s="236"/>
      <c r="M43" s="22" t="s">
        <v>61</v>
      </c>
      <c r="N43" s="47">
        <v>0.16</v>
      </c>
      <c r="O43" s="22">
        <f>L43*N43</f>
        <v>0</v>
      </c>
    </row>
    <row r="44" spans="2:15" hidden="1">
      <c r="B44" s="247"/>
      <c r="C44" s="32" t="s">
        <v>62</v>
      </c>
      <c r="D44" s="47">
        <v>0</v>
      </c>
      <c r="E44" s="89">
        <f>D44*B42</f>
        <v>0</v>
      </c>
      <c r="L44" s="236"/>
      <c r="M44" s="32" t="s">
        <v>62</v>
      </c>
      <c r="N44" s="47">
        <v>1.4999999999999999E-2</v>
      </c>
      <c r="O44" s="22">
        <f>L42*N44</f>
        <v>0</v>
      </c>
    </row>
    <row r="45" spans="2:15" hidden="1">
      <c r="B45" s="36" t="s">
        <v>63</v>
      </c>
      <c r="C45" s="36"/>
      <c r="D45" s="36"/>
      <c r="E45" s="95">
        <f>SUM(E42:E44)</f>
        <v>405697.5</v>
      </c>
      <c r="L45" s="36" t="s">
        <v>63</v>
      </c>
      <c r="M45" s="36"/>
      <c r="N45" s="36"/>
      <c r="O45" s="33">
        <f>SUM(O42:O44)</f>
        <v>0</v>
      </c>
    </row>
    <row r="46" spans="2:15" hidden="1">
      <c r="E46" s="96"/>
    </row>
    <row r="47" spans="2:15" hidden="1">
      <c r="E47" s="96"/>
    </row>
    <row r="48" spans="2:15" hidden="1">
      <c r="B48" s="22" t="s">
        <v>58</v>
      </c>
      <c r="C48" s="22" t="s">
        <v>59</v>
      </c>
      <c r="D48" s="22"/>
      <c r="E48" s="89"/>
      <c r="L48" s="22" t="s">
        <v>58</v>
      </c>
      <c r="M48" s="22" t="s">
        <v>59</v>
      </c>
      <c r="N48" s="22"/>
      <c r="O48" s="22"/>
    </row>
    <row r="49" spans="2:15" hidden="1">
      <c r="B49" s="236"/>
      <c r="C49" s="22" t="s">
        <v>60</v>
      </c>
      <c r="D49" s="47">
        <v>0.125</v>
      </c>
      <c r="E49" s="89">
        <f>D49*B49</f>
        <v>0</v>
      </c>
      <c r="L49" s="236"/>
      <c r="M49" s="22" t="s">
        <v>60</v>
      </c>
      <c r="N49" s="47">
        <v>0.125</v>
      </c>
      <c r="O49" s="22">
        <f>L49*N49</f>
        <v>0</v>
      </c>
    </row>
    <row r="50" spans="2:15" hidden="1">
      <c r="B50" s="236"/>
      <c r="C50" s="22" t="s">
        <v>61</v>
      </c>
      <c r="D50" s="47">
        <v>0.16</v>
      </c>
      <c r="E50" s="89">
        <f>D50*B49</f>
        <v>0</v>
      </c>
      <c r="L50" s="236"/>
      <c r="M50" s="22" t="s">
        <v>61</v>
      </c>
      <c r="N50" s="47">
        <v>0.16</v>
      </c>
      <c r="O50" s="22">
        <f>L49*N50</f>
        <v>0</v>
      </c>
    </row>
    <row r="51" spans="2:15" hidden="1">
      <c r="B51" s="236"/>
      <c r="C51" s="32" t="s">
        <v>62</v>
      </c>
      <c r="D51" s="47">
        <v>0.01</v>
      </c>
      <c r="E51" s="89">
        <f>D51*B49</f>
        <v>0</v>
      </c>
      <c r="L51" s="236"/>
      <c r="M51" s="32" t="s">
        <v>62</v>
      </c>
      <c r="N51" s="47">
        <v>1.4999999999999999E-2</v>
      </c>
      <c r="O51" s="22">
        <f>L49*N51</f>
        <v>0</v>
      </c>
    </row>
    <row r="52" spans="2:15" hidden="1">
      <c r="B52" s="36" t="s">
        <v>63</v>
      </c>
      <c r="C52" s="36"/>
      <c r="D52" s="36"/>
      <c r="E52" s="95">
        <f>SUM(E49:E51)</f>
        <v>0</v>
      </c>
      <c r="L52" s="36" t="s">
        <v>63</v>
      </c>
      <c r="M52" s="36"/>
      <c r="N52" s="36"/>
      <c r="O52" s="33">
        <f>SUM(O49:O51)</f>
        <v>0</v>
      </c>
    </row>
    <row r="53" spans="2:15" hidden="1">
      <c r="E53" s="96"/>
    </row>
    <row r="54" spans="2:15" hidden="1">
      <c r="E54" s="96"/>
    </row>
    <row r="55" spans="2:15" ht="19.95" hidden="1" customHeight="1">
      <c r="B55" s="22" t="s">
        <v>64</v>
      </c>
      <c r="C55" s="22"/>
      <c r="D55" s="22"/>
      <c r="E55" s="97">
        <f>E52-E45</f>
        <v>-405697.5</v>
      </c>
      <c r="L55" s="22" t="s">
        <v>64</v>
      </c>
      <c r="M55" s="22"/>
      <c r="N55" s="22"/>
      <c r="O55" s="34">
        <f>O52-O45</f>
        <v>0</v>
      </c>
    </row>
    <row r="56" spans="2:15" hidden="1">
      <c r="B56" s="22" t="s">
        <v>65</v>
      </c>
      <c r="C56" s="22"/>
      <c r="D56" s="22">
        <v>5</v>
      </c>
      <c r="E56" s="89"/>
      <c r="L56" s="22" t="s">
        <v>65</v>
      </c>
      <c r="M56" s="22"/>
      <c r="N56" s="22"/>
      <c r="O56" s="22"/>
    </row>
    <row r="57" spans="2:15" hidden="1">
      <c r="B57" s="36" t="s">
        <v>76</v>
      </c>
      <c r="C57" s="36"/>
      <c r="D57" s="36"/>
      <c r="E57" s="95">
        <f>(E55*D56)*12</f>
        <v>-24341850</v>
      </c>
      <c r="L57" s="36" t="s">
        <v>76</v>
      </c>
      <c r="M57" s="36"/>
      <c r="N57" s="36"/>
      <c r="O57" s="33">
        <f>(O55*N56)*12</f>
        <v>0</v>
      </c>
    </row>
    <row r="58" spans="2:15" hidden="1">
      <c r="B58" s="69" t="s">
        <v>66</v>
      </c>
      <c r="C58" s="23"/>
      <c r="D58" s="23"/>
      <c r="E58" s="89"/>
      <c r="L58" s="69" t="s">
        <v>66</v>
      </c>
      <c r="M58" s="23"/>
      <c r="N58" s="23"/>
      <c r="O58" s="22"/>
    </row>
    <row r="59" spans="2:15" hidden="1"/>
    <row r="60" spans="2:15" hidden="1"/>
    <row r="61" spans="2:15" hidden="1"/>
    <row r="62" spans="2:15" hidden="1"/>
  </sheetData>
  <mergeCells count="46">
    <mergeCell ref="B14:C14"/>
    <mergeCell ref="B49:B51"/>
    <mergeCell ref="B22:D22"/>
    <mergeCell ref="E22:F22"/>
    <mergeCell ref="D25:E26"/>
    <mergeCell ref="B15:C15"/>
    <mergeCell ref="E15:F15"/>
    <mergeCell ref="B25:B26"/>
    <mergeCell ref="C25:C26"/>
    <mergeCell ref="D31:E31"/>
    <mergeCell ref="D29:E29"/>
    <mergeCell ref="O4:P4"/>
    <mergeCell ref="O5:O6"/>
    <mergeCell ref="P5:P6"/>
    <mergeCell ref="O8:P8"/>
    <mergeCell ref="E9:E10"/>
    <mergeCell ref="O9:O10"/>
    <mergeCell ref="E4:F4"/>
    <mergeCell ref="E5:E6"/>
    <mergeCell ref="P9:P10"/>
    <mergeCell ref="F5:F6"/>
    <mergeCell ref="E8:F8"/>
    <mergeCell ref="L15:M15"/>
    <mergeCell ref="O15:P15"/>
    <mergeCell ref="L22:N22"/>
    <mergeCell ref="O22:P22"/>
    <mergeCell ref="F9:F10"/>
    <mergeCell ref="E14:F14"/>
    <mergeCell ref="L14:M14"/>
    <mergeCell ref="O14:P14"/>
    <mergeCell ref="B2:C2"/>
    <mergeCell ref="L49:L51"/>
    <mergeCell ref="Q25:Q26"/>
    <mergeCell ref="N27:O27"/>
    <mergeCell ref="N28:O28"/>
    <mergeCell ref="N29:O29"/>
    <mergeCell ref="L25:L26"/>
    <mergeCell ref="M25:M26"/>
    <mergeCell ref="N25:O26"/>
    <mergeCell ref="P25:P26"/>
    <mergeCell ref="B42:B44"/>
    <mergeCell ref="F25:F26"/>
    <mergeCell ref="G25:G26"/>
    <mergeCell ref="D27:E27"/>
    <mergeCell ref="D28:E28"/>
    <mergeCell ref="L42:L44"/>
  </mergeCells>
  <pageMargins left="0.7" right="0.7" top="0.75" bottom="0.75" header="0.3" footer="0.3"/>
  <pageSetup orientation="portrait" horizontalDpi="0" verticalDpi="0"/>
  <ignoredErrors>
    <ignoredError sqref="G27" evalError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4A2F-B8F0-144C-BA8F-CD1391F9C4BB}">
  <dimension ref="B2:H32"/>
  <sheetViews>
    <sheetView showGridLines="0" zoomScale="80" zoomScaleNormal="80" workbookViewId="0">
      <selection activeCell="F10" sqref="F10:G13"/>
    </sheetView>
  </sheetViews>
  <sheetFormatPr baseColWidth="10" defaultRowHeight="15.6"/>
  <cols>
    <col min="2" max="2" width="22.19921875" customWidth="1"/>
    <col min="3" max="4" width="16.69921875" customWidth="1"/>
    <col min="6" max="6" width="40.5" customWidth="1"/>
    <col min="7" max="7" width="16.69921875" customWidth="1"/>
  </cols>
  <sheetData>
    <row r="2" spans="2:8" ht="27" customHeight="1">
      <c r="B2" s="49" t="s">
        <v>25</v>
      </c>
      <c r="C2" s="49" t="s">
        <v>26</v>
      </c>
      <c r="D2" s="49" t="s">
        <v>27</v>
      </c>
    </row>
    <row r="3" spans="2:8" ht="19.8">
      <c r="B3" s="166">
        <f>'DATOS GERERALES'!C16</f>
        <v>0</v>
      </c>
      <c r="C3" s="167">
        <f>'DATOS GERERALES'!D16</f>
        <v>0</v>
      </c>
      <c r="D3" s="168">
        <f>17-C3</f>
        <v>17</v>
      </c>
    </row>
    <row r="4" spans="2:8" ht="19.8">
      <c r="B4" s="166">
        <f>'DATOS GERERALES'!C17</f>
        <v>0</v>
      </c>
      <c r="C4" s="167">
        <f>'DATOS GERERALES'!D17</f>
        <v>0</v>
      </c>
      <c r="D4" s="168">
        <f>17-C4</f>
        <v>17</v>
      </c>
    </row>
    <row r="5" spans="2:8" ht="19.8">
      <c r="B5" s="166">
        <f>'DATOS GERERALES'!C18</f>
        <v>0</v>
      </c>
      <c r="C5" s="167">
        <f>'DATOS GERERALES'!D18</f>
        <v>0</v>
      </c>
      <c r="D5" s="168">
        <f>17-C5</f>
        <v>17</v>
      </c>
    </row>
    <row r="6" spans="2:8" ht="19.8">
      <c r="B6" s="166">
        <f>'DATOS GERERALES'!C19</f>
        <v>0</v>
      </c>
      <c r="C6" s="167">
        <f>'DATOS GERERALES'!D19</f>
        <v>0</v>
      </c>
      <c r="D6" s="168">
        <f>17-C6</f>
        <v>17</v>
      </c>
    </row>
    <row r="7" spans="2:8" ht="19.8">
      <c r="B7" s="166">
        <f>'DATOS GERERALES'!C20</f>
        <v>0</v>
      </c>
      <c r="C7" s="167">
        <f>'DATOS GERERALES'!D20</f>
        <v>0</v>
      </c>
      <c r="D7" s="168">
        <f>17-C7</f>
        <v>17</v>
      </c>
    </row>
    <row r="9" spans="2:8">
      <c r="B9" s="33">
        <f>B3</f>
        <v>0</v>
      </c>
    </row>
    <row r="10" spans="2:8" ht="18">
      <c r="B10" s="50" t="s">
        <v>29</v>
      </c>
      <c r="C10" s="26">
        <v>800000</v>
      </c>
      <c r="D10" s="94">
        <f>+C10*12*D3</f>
        <v>163200000</v>
      </c>
      <c r="F10" s="51" t="s">
        <v>30</v>
      </c>
      <c r="G10" s="41">
        <f>+D12+D17+D22+D27+D32</f>
        <v>650000000</v>
      </c>
    </row>
    <row r="11" spans="2:8" ht="18">
      <c r="B11" s="50" t="s">
        <v>28</v>
      </c>
      <c r="C11" s="26">
        <v>11000000</v>
      </c>
      <c r="D11" s="24">
        <f>+C11*10</f>
        <v>110000000</v>
      </c>
      <c r="F11" s="51" t="s">
        <v>31</v>
      </c>
      <c r="G11" s="89">
        <v>0</v>
      </c>
    </row>
    <row r="12" spans="2:8" ht="18">
      <c r="B12" s="269" t="s">
        <v>17</v>
      </c>
      <c r="C12" s="270"/>
      <c r="D12" s="25">
        <f>+D10+D11</f>
        <v>273200000</v>
      </c>
      <c r="F12" s="51" t="s">
        <v>32</v>
      </c>
      <c r="G12" s="42">
        <f>+G10-G11</f>
        <v>650000000</v>
      </c>
    </row>
    <row r="13" spans="2:8" ht="18">
      <c r="F13" s="51" t="s">
        <v>33</v>
      </c>
      <c r="G13" s="44">
        <f>G12</f>
        <v>650000000</v>
      </c>
      <c r="H13" s="112">
        <v>0.4</v>
      </c>
    </row>
    <row r="14" spans="2:8">
      <c r="B14" s="33">
        <f>B4</f>
        <v>0</v>
      </c>
      <c r="G14" s="43"/>
    </row>
    <row r="15" spans="2:8" ht="18">
      <c r="B15" s="50" t="s">
        <v>29</v>
      </c>
      <c r="C15" s="26">
        <v>1200000</v>
      </c>
      <c r="D15" s="94">
        <f>+C15*12*D4</f>
        <v>244800000</v>
      </c>
    </row>
    <row r="16" spans="2:8" ht="18">
      <c r="B16" s="50" t="s">
        <v>28</v>
      </c>
      <c r="C16" s="26">
        <v>11000000</v>
      </c>
      <c r="D16" s="24">
        <f>+C16*12</f>
        <v>132000000</v>
      </c>
      <c r="F16" s="51" t="s">
        <v>34</v>
      </c>
      <c r="G16" s="45">
        <f>+D11+D16+D21+D26+D31</f>
        <v>242000000</v>
      </c>
    </row>
    <row r="17" spans="2:4">
      <c r="B17" s="269" t="s">
        <v>17</v>
      </c>
      <c r="C17" s="270"/>
      <c r="D17" s="25">
        <f>+D15+D16</f>
        <v>376800000</v>
      </c>
    </row>
    <row r="19" spans="2:4">
      <c r="B19" s="33">
        <f>B5</f>
        <v>0</v>
      </c>
    </row>
    <row r="20" spans="2:4" ht="18">
      <c r="B20" s="50" t="s">
        <v>29</v>
      </c>
      <c r="C20" s="26"/>
      <c r="D20" s="94">
        <f>+C20*12*D5</f>
        <v>0</v>
      </c>
    </row>
    <row r="21" spans="2:4" ht="18">
      <c r="B21" s="50" t="s">
        <v>28</v>
      </c>
      <c r="C21" s="26"/>
      <c r="D21" s="24">
        <f>+C21*10</f>
        <v>0</v>
      </c>
    </row>
    <row r="22" spans="2:4">
      <c r="B22" s="269" t="s">
        <v>17</v>
      </c>
      <c r="C22" s="270"/>
      <c r="D22" s="25">
        <f>+D20+D21</f>
        <v>0</v>
      </c>
    </row>
    <row r="24" spans="2:4">
      <c r="B24" s="33">
        <f>B6</f>
        <v>0</v>
      </c>
    </row>
    <row r="25" spans="2:4" ht="18">
      <c r="B25" s="50" t="s">
        <v>29</v>
      </c>
      <c r="C25" s="26"/>
      <c r="D25" s="94">
        <f>+C25*12*D6</f>
        <v>0</v>
      </c>
    </row>
    <row r="26" spans="2:4" ht="18">
      <c r="B26" s="50" t="s">
        <v>28</v>
      </c>
      <c r="C26" s="26"/>
      <c r="D26" s="24">
        <f>+C26*10</f>
        <v>0</v>
      </c>
    </row>
    <row r="27" spans="2:4">
      <c r="B27" s="269" t="s">
        <v>17</v>
      </c>
      <c r="C27" s="270"/>
      <c r="D27" s="25">
        <f>+D25+D26</f>
        <v>0</v>
      </c>
    </row>
    <row r="29" spans="2:4">
      <c r="B29" s="33">
        <f>B7</f>
        <v>0</v>
      </c>
    </row>
    <row r="30" spans="2:4" ht="18">
      <c r="B30" s="50" t="s">
        <v>29</v>
      </c>
      <c r="C30" s="26"/>
      <c r="D30" s="94">
        <f>+C30*12*D7</f>
        <v>0</v>
      </c>
    </row>
    <row r="31" spans="2:4" ht="18">
      <c r="B31" s="50" t="s">
        <v>28</v>
      </c>
      <c r="C31" s="26"/>
      <c r="D31" s="24">
        <f>+C31*10</f>
        <v>0</v>
      </c>
    </row>
    <row r="32" spans="2:4">
      <c r="B32" s="269" t="s">
        <v>17</v>
      </c>
      <c r="C32" s="270"/>
      <c r="D32" s="25">
        <f>+D30+D31</f>
        <v>0</v>
      </c>
    </row>
  </sheetData>
  <mergeCells count="5">
    <mergeCell ref="B12:C12"/>
    <mergeCell ref="B17:C17"/>
    <mergeCell ref="B22:C22"/>
    <mergeCell ref="B27:C27"/>
    <mergeCell ref="B32:C3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GERERALES</vt:lpstr>
      <vt:lpstr>PANORAMA LEY 100</vt:lpstr>
      <vt:lpstr>PANORAMA REFORMA</vt:lpstr>
      <vt:lpstr>EDUCACION HIJOS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GOMEZ</dc:creator>
  <cp:lastModifiedBy>Juan Nicolas Mejia Gomez</cp:lastModifiedBy>
  <dcterms:created xsi:type="dcterms:W3CDTF">2024-06-18T19:05:58Z</dcterms:created>
  <dcterms:modified xsi:type="dcterms:W3CDTF">2026-09-01T23:25:22Z</dcterms:modified>
</cp:coreProperties>
</file>